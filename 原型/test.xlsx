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Project\PDFTool\原型\"/>
    </mc:Choice>
  </mc:AlternateContent>
  <xr:revisionPtr revIDLastSave="0" documentId="13_ncr:1_{270BA23B-BE21-49A3-84A1-EF4E22FBC3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IC Function  List" sheetId="2" r:id="rId1"/>
    <sheet name="Summary" sheetId="3" r:id="rId2"/>
    <sheet name="cvMES Function List 定义" sheetId="4" r:id="rId3"/>
    <sheet name="cvMES" sheetId="7" r:id="rId4"/>
    <sheet name="raw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6" i="4" l="1"/>
  <c r="C526" i="4" s="1"/>
  <c r="D526" i="4"/>
  <c r="B526" i="4"/>
  <c r="A526" i="4"/>
  <c r="I525" i="4"/>
  <c r="D525" i="4"/>
  <c r="C525" i="4"/>
  <c r="B525" i="4"/>
  <c r="A525" i="4" s="1"/>
  <c r="I524" i="4"/>
  <c r="D524" i="4"/>
  <c r="C524" i="4"/>
  <c r="B524" i="4"/>
  <c r="A524" i="4" s="1"/>
  <c r="I523" i="4"/>
  <c r="C523" i="4" s="1"/>
  <c r="D523" i="4"/>
  <c r="B523" i="4"/>
  <c r="A523" i="4" s="1"/>
  <c r="I522" i="4"/>
  <c r="C522" i="4" s="1"/>
  <c r="D522" i="4"/>
  <c r="B522" i="4"/>
  <c r="A522" i="4"/>
  <c r="I521" i="4"/>
  <c r="C521" i="4" s="1"/>
  <c r="D521" i="4"/>
  <c r="B521" i="4"/>
  <c r="A521" i="4"/>
  <c r="I520" i="4"/>
  <c r="C520" i="4" s="1"/>
  <c r="D520" i="4"/>
  <c r="B520" i="4"/>
  <c r="A520" i="4"/>
  <c r="I519" i="4"/>
  <c r="C519" i="4" s="1"/>
  <c r="D519" i="4"/>
  <c r="B519" i="4"/>
  <c r="I518" i="4"/>
  <c r="C518" i="4" s="1"/>
  <c r="D518" i="4"/>
  <c r="B518" i="4"/>
  <c r="A518" i="4"/>
  <c r="I517" i="4"/>
  <c r="D517" i="4"/>
  <c r="C517" i="4"/>
  <c r="B517" i="4"/>
  <c r="A517" i="4"/>
  <c r="I516" i="4"/>
  <c r="D516" i="4"/>
  <c r="C516" i="4"/>
  <c r="B516" i="4"/>
  <c r="A516" i="4"/>
  <c r="I515" i="4"/>
  <c r="D515" i="4"/>
  <c r="C515" i="4"/>
  <c r="B515" i="4"/>
  <c r="I514" i="4"/>
  <c r="C514" i="4" s="1"/>
  <c r="D514" i="4"/>
  <c r="B514" i="4"/>
  <c r="A514" i="4"/>
  <c r="I513" i="4"/>
  <c r="C513" i="4" s="1"/>
  <c r="D513" i="4"/>
  <c r="A513" i="4" s="1"/>
  <c r="B513" i="4"/>
  <c r="I512" i="4"/>
  <c r="D512" i="4"/>
  <c r="C512" i="4"/>
  <c r="B512" i="4"/>
  <c r="A512" i="4"/>
  <c r="I511" i="4"/>
  <c r="C511" i="4" s="1"/>
  <c r="D511" i="4"/>
  <c r="B511" i="4"/>
  <c r="A511" i="4" s="1"/>
  <c r="I510" i="4"/>
  <c r="C510" i="4" s="1"/>
  <c r="D510" i="4"/>
  <c r="B510" i="4"/>
  <c r="A510" i="4"/>
  <c r="I509" i="4"/>
  <c r="D509" i="4"/>
  <c r="C509" i="4"/>
  <c r="B509" i="4"/>
  <c r="A509" i="4" s="1"/>
  <c r="I508" i="4"/>
  <c r="D508" i="4"/>
  <c r="C508" i="4"/>
  <c r="B508" i="4"/>
  <c r="A508" i="4"/>
  <c r="I507" i="4"/>
  <c r="C507" i="4" s="1"/>
  <c r="D507" i="4"/>
  <c r="B507" i="4"/>
  <c r="A507" i="4" s="1"/>
  <c r="I506" i="4"/>
  <c r="C506" i="4" s="1"/>
  <c r="D506" i="4"/>
  <c r="B506" i="4"/>
  <c r="A506" i="4"/>
  <c r="I505" i="4"/>
  <c r="C505" i="4" s="1"/>
  <c r="D505" i="4"/>
  <c r="B505" i="4"/>
  <c r="A505" i="4"/>
  <c r="I504" i="4"/>
  <c r="C504" i="4" s="1"/>
  <c r="D504" i="4"/>
  <c r="B504" i="4"/>
  <c r="A504" i="4"/>
  <c r="I503" i="4"/>
  <c r="D503" i="4"/>
  <c r="C503" i="4"/>
  <c r="B503" i="4"/>
  <c r="A503" i="4" s="1"/>
  <c r="I502" i="4"/>
  <c r="C502" i="4" s="1"/>
  <c r="D502" i="4"/>
  <c r="B502" i="4"/>
  <c r="A502" i="4"/>
  <c r="I501" i="4"/>
  <c r="C501" i="4" s="1"/>
  <c r="D501" i="4"/>
  <c r="A501" i="4" s="1"/>
  <c r="B501" i="4"/>
  <c r="I500" i="4"/>
  <c r="C500" i="4" s="1"/>
  <c r="D500" i="4"/>
  <c r="A500" i="4" s="1"/>
  <c r="B500" i="4"/>
  <c r="I499" i="4"/>
  <c r="D499" i="4"/>
  <c r="C499" i="4"/>
  <c r="B499" i="4"/>
  <c r="A499" i="4" s="1"/>
  <c r="I498" i="4"/>
  <c r="C498" i="4" s="1"/>
  <c r="D498" i="4"/>
  <c r="B498" i="4"/>
  <c r="A498" i="4"/>
  <c r="I497" i="4"/>
  <c r="C497" i="4" s="1"/>
  <c r="D497" i="4"/>
  <c r="A497" i="4" s="1"/>
  <c r="B497" i="4"/>
  <c r="I496" i="4"/>
  <c r="C496" i="4" s="1"/>
  <c r="D496" i="4"/>
  <c r="B496" i="4"/>
  <c r="A496" i="4"/>
  <c r="I495" i="4"/>
  <c r="C495" i="4" s="1"/>
  <c r="D495" i="4"/>
  <c r="B495" i="4"/>
  <c r="A495" i="4" s="1"/>
  <c r="I494" i="4"/>
  <c r="C494" i="4" s="1"/>
  <c r="D494" i="4"/>
  <c r="B494" i="4"/>
  <c r="A494" i="4"/>
  <c r="I493" i="4"/>
  <c r="D493" i="4"/>
  <c r="C493" i="4"/>
  <c r="B493" i="4"/>
  <c r="A493" i="4"/>
  <c r="I492" i="4"/>
  <c r="C492" i="4" s="1"/>
  <c r="D492" i="4"/>
  <c r="A492" i="4" s="1"/>
  <c r="B492" i="4"/>
  <c r="I491" i="4"/>
  <c r="C491" i="4" s="1"/>
  <c r="D491" i="4"/>
  <c r="B491" i="4"/>
  <c r="I490" i="4"/>
  <c r="C490" i="4" s="1"/>
  <c r="D490" i="4"/>
  <c r="B490" i="4"/>
  <c r="A490" i="4"/>
  <c r="I489" i="4"/>
  <c r="D489" i="4"/>
  <c r="C489" i="4"/>
  <c r="B489" i="4"/>
  <c r="A489" i="4"/>
  <c r="I488" i="4"/>
  <c r="C488" i="4" s="1"/>
  <c r="D488" i="4"/>
  <c r="B488" i="4"/>
  <c r="A488" i="4" s="1"/>
  <c r="D487" i="4"/>
  <c r="C487" i="4"/>
  <c r="B487" i="4"/>
  <c r="A487" i="4"/>
  <c r="D486" i="4"/>
  <c r="C486" i="4"/>
  <c r="B486" i="4"/>
  <c r="A486" i="4"/>
  <c r="D485" i="4"/>
  <c r="C485" i="4"/>
  <c r="B485" i="4"/>
  <c r="A485" i="4"/>
  <c r="D484" i="4"/>
  <c r="C484" i="4"/>
  <c r="B484" i="4"/>
  <c r="A484" i="4"/>
  <c r="I483" i="4"/>
  <c r="C483" i="4" s="1"/>
  <c r="D483" i="4"/>
  <c r="A483" i="4" s="1"/>
  <c r="B483" i="4"/>
  <c r="I482" i="4"/>
  <c r="D482" i="4"/>
  <c r="A482" i="4" s="1"/>
  <c r="C482" i="4"/>
  <c r="B482" i="4"/>
  <c r="I481" i="4"/>
  <c r="C481" i="4" s="1"/>
  <c r="D481" i="4"/>
  <c r="B481" i="4"/>
  <c r="A481" i="4"/>
  <c r="I480" i="4"/>
  <c r="D480" i="4"/>
  <c r="C480" i="4"/>
  <c r="B480" i="4"/>
  <c r="A480" i="4"/>
  <c r="I479" i="4"/>
  <c r="C479" i="4" s="1"/>
  <c r="D479" i="4"/>
  <c r="B479" i="4"/>
  <c r="A479" i="4" s="1"/>
  <c r="I478" i="4"/>
  <c r="D478" i="4"/>
  <c r="A478" i="4" s="1"/>
  <c r="C478" i="4"/>
  <c r="B478" i="4"/>
  <c r="I477" i="4"/>
  <c r="C477" i="4" s="1"/>
  <c r="D477" i="4"/>
  <c r="B477" i="4"/>
  <c r="A477" i="4"/>
  <c r="I476" i="4"/>
  <c r="D476" i="4"/>
  <c r="C476" i="4"/>
  <c r="B476" i="4"/>
  <c r="A476" i="4"/>
  <c r="I475" i="4"/>
  <c r="D475" i="4"/>
  <c r="A475" i="4" s="1"/>
  <c r="C475" i="4"/>
  <c r="B475" i="4"/>
  <c r="D474" i="4"/>
  <c r="C474" i="4"/>
  <c r="B474" i="4"/>
  <c r="A474" i="4" s="1"/>
  <c r="D473" i="4"/>
  <c r="C473" i="4"/>
  <c r="B473" i="4"/>
  <c r="I472" i="4"/>
  <c r="C472" i="4" s="1"/>
  <c r="D472" i="4"/>
  <c r="B472" i="4"/>
  <c r="A472" i="4"/>
  <c r="I471" i="4"/>
  <c r="D471" i="4"/>
  <c r="C471" i="4"/>
  <c r="B471" i="4"/>
  <c r="A471" i="4"/>
  <c r="I470" i="4"/>
  <c r="C470" i="4" s="1"/>
  <c r="D470" i="4"/>
  <c r="B470" i="4"/>
  <c r="A470" i="4" s="1"/>
  <c r="I469" i="4"/>
  <c r="C469" i="4" s="1"/>
  <c r="D469" i="4"/>
  <c r="B469" i="4"/>
  <c r="A469" i="4" s="1"/>
  <c r="I468" i="4"/>
  <c r="C468" i="4" s="1"/>
  <c r="D468" i="4"/>
  <c r="B468" i="4"/>
  <c r="A468" i="4"/>
  <c r="I467" i="4"/>
  <c r="D467" i="4"/>
  <c r="C467" i="4"/>
  <c r="B467" i="4"/>
  <c r="A467" i="4"/>
  <c r="I466" i="4"/>
  <c r="D466" i="4"/>
  <c r="A466" i="4" s="1"/>
  <c r="C466" i="4"/>
  <c r="B466" i="4"/>
  <c r="I465" i="4"/>
  <c r="D465" i="4"/>
  <c r="C465" i="4"/>
  <c r="B465" i="4"/>
  <c r="A465" i="4" s="1"/>
  <c r="I464" i="4"/>
  <c r="C464" i="4" s="1"/>
  <c r="D464" i="4"/>
  <c r="B464" i="4"/>
  <c r="A464" i="4" s="1"/>
  <c r="I463" i="4"/>
  <c r="D463" i="4"/>
  <c r="C463" i="4"/>
  <c r="B463" i="4"/>
  <c r="A463" i="4" s="1"/>
  <c r="I462" i="4"/>
  <c r="D462" i="4"/>
  <c r="C462" i="4"/>
  <c r="B462" i="4"/>
  <c r="A462" i="4" s="1"/>
  <c r="I461" i="4"/>
  <c r="C461" i="4" s="1"/>
  <c r="D461" i="4"/>
  <c r="B461" i="4"/>
  <c r="A461" i="4" s="1"/>
  <c r="I460" i="4"/>
  <c r="C460" i="4" s="1"/>
  <c r="D460" i="4"/>
  <c r="B460" i="4"/>
  <c r="A460" i="4" s="1"/>
  <c r="I459" i="4"/>
  <c r="D459" i="4"/>
  <c r="C459" i="4"/>
  <c r="B459" i="4"/>
  <c r="A459" i="4"/>
  <c r="I458" i="4"/>
  <c r="D458" i="4"/>
  <c r="C458" i="4"/>
  <c r="B458" i="4"/>
  <c r="A458" i="4"/>
  <c r="I457" i="4"/>
  <c r="C457" i="4" s="1"/>
  <c r="D457" i="4"/>
  <c r="B457" i="4"/>
  <c r="I456" i="4"/>
  <c r="C456" i="4" s="1"/>
  <c r="D456" i="4"/>
  <c r="A456" i="4" s="1"/>
  <c r="B456" i="4"/>
  <c r="I455" i="4"/>
  <c r="C455" i="4" s="1"/>
  <c r="D455" i="4"/>
  <c r="B455" i="4"/>
  <c r="A455" i="4"/>
  <c r="I454" i="4"/>
  <c r="D454" i="4"/>
  <c r="C454" i="4"/>
  <c r="B454" i="4"/>
  <c r="A454" i="4"/>
  <c r="I453" i="4"/>
  <c r="C453" i="4" s="1"/>
  <c r="D453" i="4"/>
  <c r="B453" i="4"/>
  <c r="I452" i="4"/>
  <c r="D452" i="4"/>
  <c r="C452" i="4"/>
  <c r="B452" i="4"/>
  <c r="A452" i="4" s="1"/>
  <c r="I451" i="4"/>
  <c r="C451" i="4" s="1"/>
  <c r="D451" i="4"/>
  <c r="B451" i="4"/>
  <c r="A451" i="4"/>
  <c r="I450" i="4"/>
  <c r="D450" i="4"/>
  <c r="C450" i="4"/>
  <c r="B450" i="4"/>
  <c r="A450" i="4"/>
  <c r="I449" i="4"/>
  <c r="C449" i="4" s="1"/>
  <c r="D449" i="4"/>
  <c r="B449" i="4"/>
  <c r="I448" i="4"/>
  <c r="D448" i="4"/>
  <c r="C448" i="4"/>
  <c r="B448" i="4"/>
  <c r="A448" i="4"/>
  <c r="I447" i="4"/>
  <c r="C447" i="4" s="1"/>
  <c r="D447" i="4"/>
  <c r="B447" i="4"/>
  <c r="A447" i="4"/>
  <c r="I446" i="4"/>
  <c r="D446" i="4"/>
  <c r="C446" i="4"/>
  <c r="B446" i="4"/>
  <c r="A446" i="4"/>
  <c r="I445" i="4"/>
  <c r="C445" i="4" s="1"/>
  <c r="D445" i="4"/>
  <c r="B445" i="4"/>
  <c r="I444" i="4"/>
  <c r="C444" i="4" s="1"/>
  <c r="D444" i="4"/>
  <c r="B444" i="4"/>
  <c r="A444" i="4"/>
  <c r="I443" i="4"/>
  <c r="C443" i="4" s="1"/>
  <c r="D443" i="4"/>
  <c r="B443" i="4"/>
  <c r="A443" i="4" s="1"/>
  <c r="I442" i="4"/>
  <c r="D442" i="4"/>
  <c r="C442" i="4"/>
  <c r="B442" i="4"/>
  <c r="A442" i="4" s="1"/>
  <c r="I441" i="4"/>
  <c r="D441" i="4"/>
  <c r="C441" i="4"/>
  <c r="B441" i="4"/>
  <c r="A441" i="4" s="1"/>
  <c r="I440" i="4"/>
  <c r="C440" i="4" s="1"/>
  <c r="D440" i="4"/>
  <c r="A440" i="4" s="1"/>
  <c r="B440" i="4"/>
  <c r="I439" i="4"/>
  <c r="C439" i="4" s="1"/>
  <c r="D439" i="4"/>
  <c r="B439" i="4"/>
  <c r="A439" i="4" s="1"/>
  <c r="I438" i="4"/>
  <c r="D438" i="4"/>
  <c r="C438" i="4"/>
  <c r="B438" i="4"/>
  <c r="A438" i="4"/>
  <c r="I437" i="4"/>
  <c r="D437" i="4"/>
  <c r="C437" i="4"/>
  <c r="B437" i="4"/>
  <c r="A437" i="4" s="1"/>
  <c r="I436" i="4"/>
  <c r="C436" i="4" s="1"/>
  <c r="D436" i="4"/>
  <c r="A436" i="4" s="1"/>
  <c r="B436" i="4"/>
  <c r="I435" i="4"/>
  <c r="C435" i="4" s="1"/>
  <c r="D435" i="4"/>
  <c r="A435" i="4" s="1"/>
  <c r="B435" i="4"/>
  <c r="I434" i="4"/>
  <c r="C434" i="4" s="1"/>
  <c r="D434" i="4"/>
  <c r="B434" i="4"/>
  <c r="A434" i="4"/>
  <c r="I433" i="4"/>
  <c r="D433" i="4"/>
  <c r="C433" i="4"/>
  <c r="B433" i="4"/>
  <c r="A433" i="4" s="1"/>
  <c r="I432" i="4"/>
  <c r="C432" i="4" s="1"/>
  <c r="D432" i="4"/>
  <c r="B432" i="4"/>
  <c r="A432" i="4" s="1"/>
  <c r="I431" i="4"/>
  <c r="C431" i="4" s="1"/>
  <c r="D431" i="4"/>
  <c r="B431" i="4"/>
  <c r="A431" i="4" s="1"/>
  <c r="I430" i="4"/>
  <c r="C430" i="4" s="1"/>
  <c r="D430" i="4"/>
  <c r="B430" i="4"/>
  <c r="A430" i="4"/>
  <c r="I429" i="4"/>
  <c r="C429" i="4" s="1"/>
  <c r="D429" i="4"/>
  <c r="B429" i="4"/>
  <c r="A429" i="4" s="1"/>
  <c r="I428" i="4"/>
  <c r="C428" i="4" s="1"/>
  <c r="D428" i="4"/>
  <c r="A428" i="4" s="1"/>
  <c r="B428" i="4"/>
  <c r="I427" i="4"/>
  <c r="D427" i="4"/>
  <c r="C427" i="4"/>
  <c r="B427" i="4"/>
  <c r="A427" i="4"/>
  <c r="I426" i="4"/>
  <c r="C426" i="4" s="1"/>
  <c r="D426" i="4"/>
  <c r="A426" i="4" s="1"/>
  <c r="B426" i="4"/>
  <c r="I425" i="4"/>
  <c r="C425" i="4" s="1"/>
  <c r="D425" i="4"/>
  <c r="B425" i="4"/>
  <c r="A425" i="4" s="1"/>
  <c r="I424" i="4"/>
  <c r="D424" i="4"/>
  <c r="C424" i="4"/>
  <c r="B424" i="4"/>
  <c r="A424" i="4" s="1"/>
  <c r="I423" i="4"/>
  <c r="C423" i="4" s="1"/>
  <c r="D423" i="4"/>
  <c r="B423" i="4"/>
  <c r="A423" i="4"/>
  <c r="I422" i="4"/>
  <c r="C422" i="4" s="1"/>
  <c r="D422" i="4"/>
  <c r="B422" i="4"/>
  <c r="A422" i="4" s="1"/>
  <c r="I421" i="4"/>
  <c r="C421" i="4" s="1"/>
  <c r="D421" i="4"/>
  <c r="B421" i="4"/>
  <c r="A421" i="4" s="1"/>
  <c r="I420" i="4"/>
  <c r="C420" i="4" s="1"/>
  <c r="D420" i="4"/>
  <c r="B420" i="4"/>
  <c r="A420" i="4"/>
  <c r="I419" i="4"/>
  <c r="C419" i="4" s="1"/>
  <c r="D419" i="4"/>
  <c r="A419" i="4" s="1"/>
  <c r="B419" i="4"/>
  <c r="I418" i="4"/>
  <c r="C418" i="4" s="1"/>
  <c r="D418" i="4"/>
  <c r="B418" i="4"/>
  <c r="A418" i="4" s="1"/>
  <c r="I417" i="4"/>
  <c r="D417" i="4"/>
  <c r="C417" i="4"/>
  <c r="B417" i="4"/>
  <c r="A417" i="4" s="1"/>
  <c r="I416" i="4"/>
  <c r="D416" i="4"/>
  <c r="C416" i="4"/>
  <c r="B416" i="4"/>
  <c r="A416" i="4"/>
  <c r="I415" i="4"/>
  <c r="C415" i="4" s="1"/>
  <c r="D415" i="4"/>
  <c r="A415" i="4" s="1"/>
  <c r="B415" i="4"/>
  <c r="I414" i="4"/>
  <c r="D414" i="4"/>
  <c r="A414" i="4" s="1"/>
  <c r="C414" i="4"/>
  <c r="B414" i="4"/>
  <c r="I413" i="4"/>
  <c r="D413" i="4"/>
  <c r="C413" i="4"/>
  <c r="D19" i="3" s="1"/>
  <c r="G19" i="3" s="1"/>
  <c r="B413" i="4"/>
  <c r="A413" i="4" s="1"/>
  <c r="I412" i="4"/>
  <c r="D412" i="4"/>
  <c r="C412" i="4"/>
  <c r="B412" i="4"/>
  <c r="A412" i="4"/>
  <c r="I411" i="4"/>
  <c r="C411" i="4" s="1"/>
  <c r="D411" i="4"/>
  <c r="B411" i="4"/>
  <c r="A411" i="4" s="1"/>
  <c r="I410" i="4"/>
  <c r="D410" i="4"/>
  <c r="C410" i="4"/>
  <c r="B410" i="4"/>
  <c r="A410" i="4" s="1"/>
  <c r="I409" i="4"/>
  <c r="C409" i="4" s="1"/>
  <c r="D409" i="4"/>
  <c r="B409" i="4"/>
  <c r="A409" i="4" s="1"/>
  <c r="I408" i="4"/>
  <c r="D408" i="4"/>
  <c r="C408" i="4"/>
  <c r="B408" i="4"/>
  <c r="A408" i="4"/>
  <c r="I407" i="4"/>
  <c r="D407" i="4"/>
  <c r="A407" i="4" s="1"/>
  <c r="C407" i="4"/>
  <c r="B407" i="4"/>
  <c r="I406" i="4"/>
  <c r="D406" i="4"/>
  <c r="C406" i="4"/>
  <c r="B406" i="4"/>
  <c r="A406" i="4"/>
  <c r="I405" i="4"/>
  <c r="C405" i="4" s="1"/>
  <c r="D405" i="4"/>
  <c r="B405" i="4"/>
  <c r="I404" i="4"/>
  <c r="D404" i="4"/>
  <c r="C404" i="4"/>
  <c r="B404" i="4"/>
  <c r="A404" i="4" s="1"/>
  <c r="I403" i="4"/>
  <c r="D403" i="4"/>
  <c r="C403" i="4"/>
  <c r="B403" i="4"/>
  <c r="A403" i="4" s="1"/>
  <c r="I402" i="4"/>
  <c r="C402" i="4" s="1"/>
  <c r="D402" i="4"/>
  <c r="B402" i="4"/>
  <c r="A402" i="4"/>
  <c r="I401" i="4"/>
  <c r="C401" i="4" s="1"/>
  <c r="D401" i="4"/>
  <c r="B401" i="4"/>
  <c r="I400" i="4"/>
  <c r="D400" i="4"/>
  <c r="C400" i="4"/>
  <c r="B400" i="4"/>
  <c r="A400" i="4"/>
  <c r="I399" i="4"/>
  <c r="D399" i="4"/>
  <c r="C399" i="4"/>
  <c r="B399" i="4"/>
  <c r="A399" i="4"/>
  <c r="I398" i="4"/>
  <c r="C398" i="4" s="1"/>
  <c r="D398" i="4"/>
  <c r="A398" i="4" s="1"/>
  <c r="B398" i="4"/>
  <c r="I397" i="4"/>
  <c r="C397" i="4" s="1"/>
  <c r="D397" i="4"/>
  <c r="B397" i="4"/>
  <c r="I396" i="4"/>
  <c r="D396" i="4"/>
  <c r="C396" i="4"/>
  <c r="B396" i="4"/>
  <c r="A396" i="4"/>
  <c r="I395" i="4"/>
  <c r="D395" i="4"/>
  <c r="C395" i="4"/>
  <c r="B395" i="4"/>
  <c r="A395" i="4"/>
  <c r="I394" i="4"/>
  <c r="C394" i="4" s="1"/>
  <c r="D394" i="4"/>
  <c r="A394" i="4" s="1"/>
  <c r="B394" i="4"/>
  <c r="I393" i="4"/>
  <c r="D393" i="4"/>
  <c r="C393" i="4"/>
  <c r="B393" i="4"/>
  <c r="I392" i="4"/>
  <c r="C392" i="4" s="1"/>
  <c r="D392" i="4"/>
  <c r="B392" i="4"/>
  <c r="A392" i="4"/>
  <c r="I391" i="4"/>
  <c r="D391" i="4"/>
  <c r="C391" i="4"/>
  <c r="D17" i="3" s="1"/>
  <c r="B391" i="4"/>
  <c r="A391" i="4"/>
  <c r="I390" i="4"/>
  <c r="C390" i="4" s="1"/>
  <c r="D390" i="4"/>
  <c r="B390" i="4"/>
  <c r="A390" i="4" s="1"/>
  <c r="I389" i="4"/>
  <c r="D389" i="4"/>
  <c r="C389" i="4"/>
  <c r="B389" i="4"/>
  <c r="A389" i="4" s="1"/>
  <c r="I388" i="4"/>
  <c r="C388" i="4" s="1"/>
  <c r="D388" i="4"/>
  <c r="A388" i="4" s="1"/>
  <c r="B388" i="4"/>
  <c r="I387" i="4"/>
  <c r="D387" i="4"/>
  <c r="C387" i="4"/>
  <c r="B387" i="4"/>
  <c r="A387" i="4"/>
  <c r="I386" i="4"/>
  <c r="D386" i="4"/>
  <c r="A386" i="4" s="1"/>
  <c r="C386" i="4"/>
  <c r="B386" i="4"/>
  <c r="I385" i="4"/>
  <c r="D385" i="4"/>
  <c r="C385" i="4"/>
  <c r="B385" i="4"/>
  <c r="A385" i="4" s="1"/>
  <c r="I384" i="4"/>
  <c r="C384" i="4" s="1"/>
  <c r="D384" i="4"/>
  <c r="B384" i="4"/>
  <c r="A384" i="4" s="1"/>
  <c r="I383" i="4"/>
  <c r="D383" i="4"/>
  <c r="C383" i="4"/>
  <c r="B383" i="4"/>
  <c r="A383" i="4" s="1"/>
  <c r="I382" i="4"/>
  <c r="D382" i="4"/>
  <c r="C382" i="4"/>
  <c r="B382" i="4"/>
  <c r="A382" i="4" s="1"/>
  <c r="I381" i="4"/>
  <c r="C381" i="4" s="1"/>
  <c r="D381" i="4"/>
  <c r="B381" i="4"/>
  <c r="A381" i="4" s="1"/>
  <c r="I380" i="4"/>
  <c r="C380" i="4" s="1"/>
  <c r="D380" i="4"/>
  <c r="B380" i="4"/>
  <c r="A380" i="4" s="1"/>
  <c r="I379" i="4"/>
  <c r="C379" i="4" s="1"/>
  <c r="D379" i="4"/>
  <c r="B379" i="4"/>
  <c r="A379" i="4"/>
  <c r="I378" i="4"/>
  <c r="D378" i="4"/>
  <c r="C378" i="4"/>
  <c r="B378" i="4"/>
  <c r="A378" i="4"/>
  <c r="I377" i="4"/>
  <c r="C377" i="4" s="1"/>
  <c r="D377" i="4"/>
  <c r="B377" i="4"/>
  <c r="I376" i="4"/>
  <c r="C376" i="4" s="1"/>
  <c r="D376" i="4"/>
  <c r="A376" i="4" s="1"/>
  <c r="B376" i="4"/>
  <c r="I375" i="4"/>
  <c r="C375" i="4" s="1"/>
  <c r="D375" i="4"/>
  <c r="B375" i="4"/>
  <c r="A375" i="4"/>
  <c r="I374" i="4"/>
  <c r="D374" i="4"/>
  <c r="C374" i="4"/>
  <c r="B374" i="4"/>
  <c r="A374" i="4"/>
  <c r="I373" i="4"/>
  <c r="C373" i="4" s="1"/>
  <c r="D373" i="4"/>
  <c r="B373" i="4"/>
  <c r="I372" i="4"/>
  <c r="C372" i="4" s="1"/>
  <c r="D372" i="4"/>
  <c r="B372" i="4"/>
  <c r="A372" i="4" s="1"/>
  <c r="I371" i="4"/>
  <c r="C371" i="4" s="1"/>
  <c r="D371" i="4"/>
  <c r="B371" i="4"/>
  <c r="A371" i="4"/>
  <c r="I370" i="4"/>
  <c r="D370" i="4"/>
  <c r="C370" i="4"/>
  <c r="B370" i="4"/>
  <c r="A370" i="4"/>
  <c r="I369" i="4"/>
  <c r="C369" i="4" s="1"/>
  <c r="D369" i="4"/>
  <c r="B369" i="4"/>
  <c r="I368" i="4"/>
  <c r="D368" i="4"/>
  <c r="C368" i="4"/>
  <c r="B368" i="4"/>
  <c r="A368" i="4"/>
  <c r="I367" i="4"/>
  <c r="C367" i="4" s="1"/>
  <c r="D367" i="4"/>
  <c r="A367" i="4" s="1"/>
  <c r="B367" i="4"/>
  <c r="I366" i="4"/>
  <c r="C366" i="4" s="1"/>
  <c r="D366" i="4"/>
  <c r="B366" i="4"/>
  <c r="A366" i="4"/>
  <c r="I365" i="4"/>
  <c r="C365" i="4" s="1"/>
  <c r="D365" i="4"/>
  <c r="B365" i="4"/>
  <c r="I364" i="4"/>
  <c r="C364" i="4" s="1"/>
  <c r="D364" i="4"/>
  <c r="B364" i="4"/>
  <c r="A364" i="4"/>
  <c r="I363" i="4"/>
  <c r="C363" i="4" s="1"/>
  <c r="D363" i="4"/>
  <c r="B363" i="4"/>
  <c r="A363" i="4" s="1"/>
  <c r="I362" i="4"/>
  <c r="D362" i="4"/>
  <c r="C362" i="4"/>
  <c r="B362" i="4"/>
  <c r="A362" i="4" s="1"/>
  <c r="I361" i="4"/>
  <c r="D361" i="4"/>
  <c r="M16" i="3" s="1"/>
  <c r="C361" i="4"/>
  <c r="B361" i="4"/>
  <c r="I360" i="4"/>
  <c r="C360" i="4" s="1"/>
  <c r="D360" i="4"/>
  <c r="A360" i="4" s="1"/>
  <c r="B360" i="4"/>
  <c r="I359" i="4"/>
  <c r="C359" i="4" s="1"/>
  <c r="D359" i="4"/>
  <c r="B359" i="4"/>
  <c r="A359" i="4" s="1"/>
  <c r="I358" i="4"/>
  <c r="D358" i="4"/>
  <c r="C358" i="4"/>
  <c r="B358" i="4"/>
  <c r="A358" i="4"/>
  <c r="I357" i="4"/>
  <c r="D357" i="4"/>
  <c r="C357" i="4"/>
  <c r="B357" i="4"/>
  <c r="A357" i="4" s="1"/>
  <c r="I356" i="4"/>
  <c r="C356" i="4" s="1"/>
  <c r="D356" i="4"/>
  <c r="A356" i="4" s="1"/>
  <c r="B356" i="4"/>
  <c r="I355" i="4"/>
  <c r="C355" i="4" s="1"/>
  <c r="D355" i="4"/>
  <c r="A355" i="4" s="1"/>
  <c r="B355" i="4"/>
  <c r="I354" i="4"/>
  <c r="D354" i="4"/>
  <c r="C354" i="4"/>
  <c r="B354" i="4"/>
  <c r="A354" i="4"/>
  <c r="I353" i="4"/>
  <c r="D353" i="4"/>
  <c r="C353" i="4"/>
  <c r="B353" i="4"/>
  <c r="A353" i="4" s="1"/>
  <c r="I352" i="4"/>
  <c r="C352" i="4" s="1"/>
  <c r="D352" i="4"/>
  <c r="B352" i="4"/>
  <c r="A352" i="4" s="1"/>
  <c r="I351" i="4"/>
  <c r="C351" i="4" s="1"/>
  <c r="D351" i="4"/>
  <c r="B351" i="4"/>
  <c r="A351" i="4" s="1"/>
  <c r="I350" i="4"/>
  <c r="C350" i="4" s="1"/>
  <c r="D350" i="4"/>
  <c r="B350" i="4"/>
  <c r="A350" i="4"/>
  <c r="I349" i="4"/>
  <c r="C349" i="4" s="1"/>
  <c r="D349" i="4"/>
  <c r="B349" i="4"/>
  <c r="A349" i="4" s="1"/>
  <c r="I348" i="4"/>
  <c r="C348" i="4" s="1"/>
  <c r="D348" i="4"/>
  <c r="A348" i="4" s="1"/>
  <c r="B348" i="4"/>
  <c r="I347" i="4"/>
  <c r="D347" i="4"/>
  <c r="C347" i="4"/>
  <c r="B347" i="4"/>
  <c r="A347" i="4"/>
  <c r="I346" i="4"/>
  <c r="C346" i="4" s="1"/>
  <c r="D346" i="4"/>
  <c r="A346" i="4" s="1"/>
  <c r="B346" i="4"/>
  <c r="I345" i="4"/>
  <c r="D345" i="4"/>
  <c r="C345" i="4"/>
  <c r="B345" i="4"/>
  <c r="I344" i="4"/>
  <c r="C344" i="4" s="1"/>
  <c r="D344" i="4"/>
  <c r="B344" i="4"/>
  <c r="I343" i="4"/>
  <c r="C343" i="4" s="1"/>
  <c r="D343" i="4"/>
  <c r="B343" i="4"/>
  <c r="A343" i="4"/>
  <c r="I342" i="4"/>
  <c r="C342" i="4" s="1"/>
  <c r="D342" i="4"/>
  <c r="A342" i="4" s="1"/>
  <c r="B342" i="4"/>
  <c r="I341" i="4"/>
  <c r="D341" i="4"/>
  <c r="C341" i="4"/>
  <c r="B341" i="4"/>
  <c r="A341" i="4" s="1"/>
  <c r="I340" i="4"/>
  <c r="C340" i="4" s="1"/>
  <c r="D340" i="4"/>
  <c r="B340" i="4"/>
  <c r="A340" i="4"/>
  <c r="I339" i="4"/>
  <c r="C339" i="4" s="1"/>
  <c r="D339" i="4"/>
  <c r="A339" i="4" s="1"/>
  <c r="B339" i="4"/>
  <c r="I338" i="4"/>
  <c r="C338" i="4" s="1"/>
  <c r="D338" i="4"/>
  <c r="B338" i="4"/>
  <c r="A338" i="4" s="1"/>
  <c r="I337" i="4"/>
  <c r="D337" i="4"/>
  <c r="C337" i="4"/>
  <c r="B337" i="4"/>
  <c r="A337" i="4" s="1"/>
  <c r="I336" i="4"/>
  <c r="D336" i="4"/>
  <c r="C336" i="4"/>
  <c r="B336" i="4"/>
  <c r="A336" i="4" s="1"/>
  <c r="I335" i="4"/>
  <c r="C335" i="4" s="1"/>
  <c r="D335" i="4"/>
  <c r="A335" i="4" s="1"/>
  <c r="B335" i="4"/>
  <c r="I334" i="4"/>
  <c r="C334" i="4" s="1"/>
  <c r="D334" i="4"/>
  <c r="A334" i="4" s="1"/>
  <c r="B334" i="4"/>
  <c r="I333" i="4"/>
  <c r="D333" i="4"/>
  <c r="C333" i="4"/>
  <c r="B333" i="4"/>
  <c r="A333" i="4" s="1"/>
  <c r="I332" i="4"/>
  <c r="D332" i="4"/>
  <c r="C332" i="4"/>
  <c r="B332" i="4"/>
  <c r="A332" i="4"/>
  <c r="I331" i="4"/>
  <c r="C331" i="4" s="1"/>
  <c r="D331" i="4"/>
  <c r="H11" i="3" s="1"/>
  <c r="B331" i="4"/>
  <c r="I330" i="4"/>
  <c r="C330" i="4" s="1"/>
  <c r="D330" i="4"/>
  <c r="B330" i="4"/>
  <c r="A330" i="4" s="1"/>
  <c r="I329" i="4"/>
  <c r="C329" i="4" s="1"/>
  <c r="D329" i="4"/>
  <c r="B329" i="4"/>
  <c r="A329" i="4" s="1"/>
  <c r="I328" i="4"/>
  <c r="C328" i="4" s="1"/>
  <c r="D328" i="4"/>
  <c r="B328" i="4"/>
  <c r="A328" i="4" s="1"/>
  <c r="I327" i="4"/>
  <c r="C327" i="4" s="1"/>
  <c r="D327" i="4"/>
  <c r="B327" i="4"/>
  <c r="A327" i="4"/>
  <c r="I326" i="4"/>
  <c r="D326" i="4"/>
  <c r="C326" i="4"/>
  <c r="B326" i="4"/>
  <c r="A326" i="4" s="1"/>
  <c r="I325" i="4"/>
  <c r="C325" i="4" s="1"/>
  <c r="D325" i="4"/>
  <c r="B325" i="4"/>
  <c r="I324" i="4"/>
  <c r="C324" i="4" s="1"/>
  <c r="D324" i="4"/>
  <c r="B324" i="4"/>
  <c r="A324" i="4"/>
  <c r="I323" i="4"/>
  <c r="C323" i="4" s="1"/>
  <c r="D323" i="4"/>
  <c r="B323" i="4"/>
  <c r="I322" i="4"/>
  <c r="C322" i="4" s="1"/>
  <c r="D322" i="4"/>
  <c r="B322" i="4"/>
  <c r="A322" i="4"/>
  <c r="I321" i="4"/>
  <c r="C321" i="4" s="1"/>
  <c r="D321" i="4"/>
  <c r="B321" i="4"/>
  <c r="I320" i="4"/>
  <c r="D320" i="4"/>
  <c r="C320" i="4"/>
  <c r="B320" i="4"/>
  <c r="A320" i="4" s="1"/>
  <c r="I319" i="4"/>
  <c r="C319" i="4" s="1"/>
  <c r="D319" i="4"/>
  <c r="B319" i="4"/>
  <c r="A319" i="4"/>
  <c r="I318" i="4"/>
  <c r="C318" i="4" s="1"/>
  <c r="D318" i="4"/>
  <c r="B318" i="4"/>
  <c r="I317" i="4"/>
  <c r="C317" i="4" s="1"/>
  <c r="D317" i="4"/>
  <c r="B317" i="4"/>
  <c r="I316" i="4"/>
  <c r="D316" i="4"/>
  <c r="C316" i="4"/>
  <c r="B316" i="4"/>
  <c r="A316" i="4"/>
  <c r="I315" i="4"/>
  <c r="D315" i="4"/>
  <c r="C315" i="4"/>
  <c r="B315" i="4"/>
  <c r="A315" i="4" s="1"/>
  <c r="I314" i="4"/>
  <c r="C314" i="4" s="1"/>
  <c r="D314" i="4"/>
  <c r="B314" i="4"/>
  <c r="A314" i="4"/>
  <c r="I313" i="4"/>
  <c r="C313" i="4" s="1"/>
  <c r="D313" i="4"/>
  <c r="B313" i="4"/>
  <c r="I312" i="4"/>
  <c r="C312" i="4" s="1"/>
  <c r="D312" i="4"/>
  <c r="B312" i="4"/>
  <c r="A312" i="4" s="1"/>
  <c r="I311" i="4"/>
  <c r="D311" i="4"/>
  <c r="C311" i="4"/>
  <c r="B311" i="4"/>
  <c r="A311" i="4"/>
  <c r="I310" i="4"/>
  <c r="C310" i="4" s="1"/>
  <c r="D310" i="4"/>
  <c r="B310" i="4"/>
  <c r="A310" i="4" s="1"/>
  <c r="I309" i="4"/>
  <c r="D309" i="4"/>
  <c r="C309" i="4"/>
  <c r="B309" i="4"/>
  <c r="A309" i="4" s="1"/>
  <c r="I308" i="4"/>
  <c r="C308" i="4" s="1"/>
  <c r="D308" i="4"/>
  <c r="B308" i="4"/>
  <c r="A308" i="4"/>
  <c r="I307" i="4"/>
  <c r="C307" i="4" s="1"/>
  <c r="D307" i="4"/>
  <c r="B307" i="4"/>
  <c r="A307" i="4" s="1"/>
  <c r="I306" i="4"/>
  <c r="D306" i="4"/>
  <c r="C306" i="4"/>
  <c r="B306" i="4"/>
  <c r="A306" i="4"/>
  <c r="I305" i="4"/>
  <c r="D305" i="4"/>
  <c r="C305" i="4"/>
  <c r="B305" i="4"/>
  <c r="A305" i="4" s="1"/>
  <c r="I304" i="4"/>
  <c r="C304" i="4" s="1"/>
  <c r="D304" i="4"/>
  <c r="A304" i="4" s="1"/>
  <c r="B304" i="4"/>
  <c r="I303" i="4"/>
  <c r="C303" i="4" s="1"/>
  <c r="D303" i="4"/>
  <c r="B303" i="4"/>
  <c r="A303" i="4"/>
  <c r="I302" i="4"/>
  <c r="C302" i="4" s="1"/>
  <c r="D302" i="4"/>
  <c r="B302" i="4"/>
  <c r="I301" i="4"/>
  <c r="C301" i="4" s="1"/>
  <c r="D301" i="4"/>
  <c r="B301" i="4"/>
  <c r="A301" i="4" s="1"/>
  <c r="I300" i="4"/>
  <c r="C300" i="4" s="1"/>
  <c r="D300" i="4"/>
  <c r="B300" i="4"/>
  <c r="A300" i="4" s="1"/>
  <c r="I299" i="4"/>
  <c r="D299" i="4"/>
  <c r="C299" i="4"/>
  <c r="B299" i="4"/>
  <c r="A299" i="4" s="1"/>
  <c r="I298" i="4"/>
  <c r="D298" i="4"/>
  <c r="C298" i="4"/>
  <c r="B298" i="4"/>
  <c r="A298" i="4"/>
  <c r="I297" i="4"/>
  <c r="C297" i="4" s="1"/>
  <c r="D297" i="4"/>
  <c r="B297" i="4"/>
  <c r="I296" i="4"/>
  <c r="C296" i="4" s="1"/>
  <c r="D296" i="4"/>
  <c r="A296" i="4" s="1"/>
  <c r="B296" i="4"/>
  <c r="I295" i="4"/>
  <c r="D295" i="4"/>
  <c r="C295" i="4"/>
  <c r="B295" i="4"/>
  <c r="A295" i="4"/>
  <c r="I294" i="4"/>
  <c r="D294" i="4"/>
  <c r="C294" i="4"/>
  <c r="B294" i="4"/>
  <c r="A294" i="4" s="1"/>
  <c r="I293" i="4"/>
  <c r="C293" i="4" s="1"/>
  <c r="D293" i="4"/>
  <c r="B293" i="4"/>
  <c r="I292" i="4"/>
  <c r="D292" i="4"/>
  <c r="C292" i="4"/>
  <c r="B292" i="4"/>
  <c r="A292" i="4" s="1"/>
  <c r="I291" i="4"/>
  <c r="C291" i="4" s="1"/>
  <c r="D291" i="4"/>
  <c r="B291" i="4"/>
  <c r="A291" i="4" s="1"/>
  <c r="I290" i="4"/>
  <c r="D290" i="4"/>
  <c r="C290" i="4"/>
  <c r="B290" i="4"/>
  <c r="A290" i="4"/>
  <c r="I289" i="4"/>
  <c r="D289" i="4"/>
  <c r="C289" i="4"/>
  <c r="B289" i="4"/>
  <c r="A289" i="4" s="1"/>
  <c r="I288" i="4"/>
  <c r="D288" i="4"/>
  <c r="C288" i="4"/>
  <c r="B288" i="4"/>
  <c r="A288" i="4" s="1"/>
  <c r="I287" i="4"/>
  <c r="C287" i="4" s="1"/>
  <c r="D287" i="4"/>
  <c r="B287" i="4"/>
  <c r="A287" i="4"/>
  <c r="I286" i="4"/>
  <c r="C286" i="4" s="1"/>
  <c r="D286" i="4"/>
  <c r="B286" i="4"/>
  <c r="A286" i="4"/>
  <c r="I285" i="4"/>
  <c r="D285" i="4"/>
  <c r="C285" i="4"/>
  <c r="B285" i="4"/>
  <c r="A285" i="4" s="1"/>
  <c r="I284" i="4"/>
  <c r="C284" i="4" s="1"/>
  <c r="D284" i="4"/>
  <c r="B284" i="4"/>
  <c r="A284" i="4"/>
  <c r="I283" i="4"/>
  <c r="C283" i="4" s="1"/>
  <c r="D283" i="4"/>
  <c r="B283" i="4"/>
  <c r="A283" i="4" s="1"/>
  <c r="I282" i="4"/>
  <c r="C282" i="4" s="1"/>
  <c r="D282" i="4"/>
  <c r="B282" i="4"/>
  <c r="A282" i="4"/>
  <c r="I281" i="4"/>
  <c r="D281" i="4"/>
  <c r="C281" i="4"/>
  <c r="B281" i="4"/>
  <c r="A281" i="4" s="1"/>
  <c r="I280" i="4"/>
  <c r="C280" i="4" s="1"/>
  <c r="D280" i="4"/>
  <c r="B280" i="4"/>
  <c r="A280" i="4"/>
  <c r="I279" i="4"/>
  <c r="C279" i="4" s="1"/>
  <c r="D279" i="4"/>
  <c r="B279" i="4"/>
  <c r="A279" i="4" s="1"/>
  <c r="I278" i="4"/>
  <c r="D278" i="4"/>
  <c r="C278" i="4"/>
  <c r="B278" i="4"/>
  <c r="A278" i="4" s="1"/>
  <c r="I277" i="4"/>
  <c r="C277" i="4" s="1"/>
  <c r="D277" i="4"/>
  <c r="B277" i="4"/>
  <c r="A277" i="4" s="1"/>
  <c r="I276" i="4"/>
  <c r="C276" i="4" s="1"/>
  <c r="D276" i="4"/>
  <c r="A276" i="4" s="1"/>
  <c r="B276" i="4"/>
  <c r="I275" i="4"/>
  <c r="C275" i="4" s="1"/>
  <c r="D275" i="4"/>
  <c r="A275" i="4" s="1"/>
  <c r="B275" i="4"/>
  <c r="I274" i="4"/>
  <c r="D274" i="4"/>
  <c r="C274" i="4"/>
  <c r="B274" i="4"/>
  <c r="A274" i="4"/>
  <c r="I273" i="4"/>
  <c r="D273" i="4"/>
  <c r="C273" i="4"/>
  <c r="B273" i="4"/>
  <c r="A273" i="4" s="1"/>
  <c r="I272" i="4"/>
  <c r="C272" i="4" s="1"/>
  <c r="D272" i="4"/>
  <c r="B272" i="4"/>
  <c r="I271" i="4"/>
  <c r="C271" i="4" s="1"/>
  <c r="D271" i="4"/>
  <c r="B271" i="4"/>
  <c r="I270" i="4"/>
  <c r="C270" i="4" s="1"/>
  <c r="D270" i="4"/>
  <c r="B270" i="4"/>
  <c r="A270" i="4" s="1"/>
  <c r="I269" i="4"/>
  <c r="D269" i="4"/>
  <c r="C269" i="4"/>
  <c r="B269" i="4"/>
  <c r="A269" i="4" s="1"/>
  <c r="I268" i="4"/>
  <c r="D268" i="4"/>
  <c r="A268" i="4" s="1"/>
  <c r="C268" i="4"/>
  <c r="B268" i="4"/>
  <c r="I267" i="4"/>
  <c r="D267" i="4"/>
  <c r="C267" i="4"/>
  <c r="B267" i="4"/>
  <c r="A267" i="4" s="1"/>
  <c r="I266" i="4"/>
  <c r="C266" i="4" s="1"/>
  <c r="D266" i="4"/>
  <c r="B266" i="4"/>
  <c r="A266" i="4"/>
  <c r="I265" i="4"/>
  <c r="C265" i="4" s="1"/>
  <c r="D265" i="4"/>
  <c r="B265" i="4"/>
  <c r="A265" i="4" s="1"/>
  <c r="I264" i="4"/>
  <c r="D264" i="4"/>
  <c r="C264" i="4"/>
  <c r="B264" i="4"/>
  <c r="A264" i="4"/>
  <c r="I263" i="4"/>
  <c r="C263" i="4" s="1"/>
  <c r="D263" i="4"/>
  <c r="B263" i="4"/>
  <c r="A263" i="4"/>
  <c r="I262" i="4"/>
  <c r="C262" i="4" s="1"/>
  <c r="D262" i="4"/>
  <c r="B262" i="4"/>
  <c r="A262" i="4" s="1"/>
  <c r="I261" i="4"/>
  <c r="C261" i="4" s="1"/>
  <c r="D261" i="4"/>
  <c r="B261" i="4"/>
  <c r="I260" i="4"/>
  <c r="C260" i="4" s="1"/>
  <c r="D260" i="4"/>
  <c r="B260" i="4"/>
  <c r="A260" i="4"/>
  <c r="I259" i="4"/>
  <c r="C259" i="4" s="1"/>
  <c r="D259" i="4"/>
  <c r="B259" i="4"/>
  <c r="A259" i="4"/>
  <c r="I258" i="4"/>
  <c r="C258" i="4" s="1"/>
  <c r="D258" i="4"/>
  <c r="A258" i="4" s="1"/>
  <c r="B258" i="4"/>
  <c r="I257" i="4"/>
  <c r="D257" i="4"/>
  <c r="C257" i="4"/>
  <c r="B257" i="4"/>
  <c r="A257" i="4" s="1"/>
  <c r="I256" i="4"/>
  <c r="C256" i="4" s="1"/>
  <c r="D256" i="4"/>
  <c r="B256" i="4"/>
  <c r="A256" i="4"/>
  <c r="I255" i="4"/>
  <c r="C255" i="4" s="1"/>
  <c r="D255" i="4"/>
  <c r="A255" i="4" s="1"/>
  <c r="B255" i="4"/>
  <c r="I254" i="4"/>
  <c r="C254" i="4" s="1"/>
  <c r="D254" i="4"/>
  <c r="A254" i="4" s="1"/>
  <c r="B254" i="4"/>
  <c r="I253" i="4"/>
  <c r="D253" i="4"/>
  <c r="C253" i="4"/>
  <c r="B253" i="4"/>
  <c r="A253" i="4" s="1"/>
  <c r="I252" i="4"/>
  <c r="D252" i="4"/>
  <c r="C252" i="4"/>
  <c r="B252" i="4"/>
  <c r="A252" i="4"/>
  <c r="I251" i="4"/>
  <c r="C251" i="4" s="1"/>
  <c r="D251" i="4"/>
  <c r="B251" i="4"/>
  <c r="A251" i="4" s="1"/>
  <c r="I250" i="4"/>
  <c r="C250" i="4" s="1"/>
  <c r="D250" i="4"/>
  <c r="B250" i="4"/>
  <c r="I249" i="4"/>
  <c r="C249" i="4" s="1"/>
  <c r="D249" i="4"/>
  <c r="B249" i="4"/>
  <c r="A249" i="4" s="1"/>
  <c r="I248" i="4"/>
  <c r="D248" i="4"/>
  <c r="C248" i="4"/>
  <c r="B248" i="4"/>
  <c r="A248" i="4"/>
  <c r="I247" i="4"/>
  <c r="D247" i="4"/>
  <c r="C247" i="4"/>
  <c r="B247" i="4"/>
  <c r="A247" i="4" s="1"/>
  <c r="I246" i="4"/>
  <c r="C246" i="4" s="1"/>
  <c r="D246" i="4"/>
  <c r="B246" i="4"/>
  <c r="A246" i="4"/>
  <c r="I245" i="4"/>
  <c r="C245" i="4" s="1"/>
  <c r="D245" i="4"/>
  <c r="B245" i="4"/>
  <c r="I244" i="4"/>
  <c r="D244" i="4"/>
  <c r="C244" i="4"/>
  <c r="B244" i="4"/>
  <c r="A244" i="4" s="1"/>
  <c r="I243" i="4"/>
  <c r="D243" i="4"/>
  <c r="C243" i="4"/>
  <c r="B243" i="4"/>
  <c r="A243" i="4"/>
  <c r="I242" i="4"/>
  <c r="C242" i="4" s="1"/>
  <c r="D242" i="4"/>
  <c r="B242" i="4"/>
  <c r="A242" i="4"/>
  <c r="I241" i="4"/>
  <c r="C241" i="4" s="1"/>
  <c r="D241" i="4"/>
  <c r="B241" i="4"/>
  <c r="A241" i="4" s="1"/>
  <c r="I240" i="4"/>
  <c r="C240" i="4" s="1"/>
  <c r="D240" i="4"/>
  <c r="B240" i="4"/>
  <c r="A240" i="4"/>
  <c r="I239" i="4"/>
  <c r="D239" i="4"/>
  <c r="C239" i="4"/>
  <c r="B239" i="4"/>
  <c r="A239" i="4" s="1"/>
  <c r="I238" i="4"/>
  <c r="C238" i="4" s="1"/>
  <c r="D238" i="4"/>
  <c r="B238" i="4"/>
  <c r="A238" i="4"/>
  <c r="I237" i="4"/>
  <c r="C237" i="4" s="1"/>
  <c r="D237" i="4"/>
  <c r="B237" i="4"/>
  <c r="I236" i="4"/>
  <c r="C236" i="4" s="1"/>
  <c r="D236" i="4"/>
  <c r="B236" i="4"/>
  <c r="A236" i="4"/>
  <c r="I235" i="4"/>
  <c r="C235" i="4" s="1"/>
  <c r="D235" i="4"/>
  <c r="B235" i="4"/>
  <c r="A235" i="4" s="1"/>
  <c r="I234" i="4"/>
  <c r="C234" i="4" s="1"/>
  <c r="D234" i="4"/>
  <c r="A234" i="4" s="1"/>
  <c r="B234" i="4"/>
  <c r="I233" i="4"/>
  <c r="D233" i="4"/>
  <c r="C233" i="4"/>
  <c r="B233" i="4"/>
  <c r="I232" i="4"/>
  <c r="C232" i="4" s="1"/>
  <c r="D232" i="4"/>
  <c r="B232" i="4"/>
  <c r="A232" i="4" s="1"/>
  <c r="I231" i="4"/>
  <c r="C231" i="4" s="1"/>
  <c r="D231" i="4"/>
  <c r="B231" i="4"/>
  <c r="A231" i="4"/>
  <c r="I230" i="4"/>
  <c r="C230" i="4" s="1"/>
  <c r="D230" i="4"/>
  <c r="B230" i="4"/>
  <c r="I229" i="4"/>
  <c r="D229" i="4"/>
  <c r="C229" i="4"/>
  <c r="B229" i="4"/>
  <c r="I228" i="4"/>
  <c r="D228" i="4"/>
  <c r="C228" i="4"/>
  <c r="B228" i="4"/>
  <c r="A228" i="4"/>
  <c r="I227" i="4"/>
  <c r="D227" i="4"/>
  <c r="C227" i="4"/>
  <c r="B227" i="4"/>
  <c r="A227" i="4"/>
  <c r="I226" i="4"/>
  <c r="C226" i="4" s="1"/>
  <c r="D226" i="4"/>
  <c r="B226" i="4"/>
  <c r="A226" i="4"/>
  <c r="I225" i="4"/>
  <c r="C225" i="4" s="1"/>
  <c r="D225" i="4"/>
  <c r="B225" i="4"/>
  <c r="A225" i="4" s="1"/>
  <c r="I224" i="4"/>
  <c r="C224" i="4" s="1"/>
  <c r="D224" i="4"/>
  <c r="B224" i="4"/>
  <c r="A224" i="4" s="1"/>
  <c r="I223" i="4"/>
  <c r="D223" i="4"/>
  <c r="C223" i="4"/>
  <c r="B223" i="4"/>
  <c r="A223" i="4" s="1"/>
  <c r="I222" i="4"/>
  <c r="D222" i="4"/>
  <c r="C222" i="4"/>
  <c r="B222" i="4"/>
  <c r="A222" i="4" s="1"/>
  <c r="I221" i="4"/>
  <c r="C221" i="4" s="1"/>
  <c r="D221" i="4"/>
  <c r="B221" i="4"/>
  <c r="I220" i="4"/>
  <c r="C220" i="4" s="1"/>
  <c r="D220" i="4"/>
  <c r="B220" i="4"/>
  <c r="I219" i="4"/>
  <c r="C219" i="4" s="1"/>
  <c r="D219" i="4"/>
  <c r="B219" i="4"/>
  <c r="A219" i="4"/>
  <c r="I218" i="4"/>
  <c r="D218" i="4"/>
  <c r="C218" i="4"/>
  <c r="B218" i="4"/>
  <c r="A218" i="4"/>
  <c r="I217" i="4"/>
  <c r="C217" i="4" s="1"/>
  <c r="D217" i="4"/>
  <c r="B217" i="4"/>
  <c r="I216" i="4"/>
  <c r="C216" i="4" s="1"/>
  <c r="D216" i="4"/>
  <c r="A216" i="4" s="1"/>
  <c r="B216" i="4"/>
  <c r="I215" i="4"/>
  <c r="C215" i="4" s="1"/>
  <c r="D215" i="4"/>
  <c r="B215" i="4"/>
  <c r="A215" i="4"/>
  <c r="I214" i="4"/>
  <c r="C214" i="4" s="1"/>
  <c r="D214" i="4"/>
  <c r="B214" i="4"/>
  <c r="A214" i="4" s="1"/>
  <c r="I213" i="4"/>
  <c r="C213" i="4" s="1"/>
  <c r="D213" i="4"/>
  <c r="B213" i="4"/>
  <c r="I212" i="4"/>
  <c r="D212" i="4"/>
  <c r="C212" i="4"/>
  <c r="B212" i="4"/>
  <c r="I211" i="4"/>
  <c r="C211" i="4" s="1"/>
  <c r="D211" i="4"/>
  <c r="B211" i="4"/>
  <c r="A211" i="4" s="1"/>
  <c r="I210" i="4"/>
  <c r="C210" i="4" s="1"/>
  <c r="D210" i="4"/>
  <c r="B210" i="4"/>
  <c r="A210" i="4"/>
  <c r="I209" i="4"/>
  <c r="C209" i="4" s="1"/>
  <c r="D209" i="4"/>
  <c r="B209" i="4"/>
  <c r="I208" i="4"/>
  <c r="C208" i="4" s="1"/>
  <c r="D208" i="4"/>
  <c r="B208" i="4"/>
  <c r="A208" i="4"/>
  <c r="I207" i="4"/>
  <c r="D207" i="4"/>
  <c r="C207" i="4"/>
  <c r="B207" i="4"/>
  <c r="A207" i="4"/>
  <c r="I206" i="4"/>
  <c r="D206" i="4"/>
  <c r="C206" i="4"/>
  <c r="B206" i="4"/>
  <c r="A206" i="4"/>
  <c r="I205" i="4"/>
  <c r="D205" i="4"/>
  <c r="C205" i="4"/>
  <c r="B205" i="4"/>
  <c r="A205" i="4" s="1"/>
  <c r="I204" i="4"/>
  <c r="C204" i="4" s="1"/>
  <c r="D204" i="4"/>
  <c r="B204" i="4"/>
  <c r="A204" i="4"/>
  <c r="I203" i="4"/>
  <c r="C203" i="4" s="1"/>
  <c r="D203" i="4"/>
  <c r="B203" i="4"/>
  <c r="A203" i="4" s="1"/>
  <c r="I202" i="4"/>
  <c r="D202" i="4"/>
  <c r="C202" i="4"/>
  <c r="B202" i="4"/>
  <c r="A202" i="4" s="1"/>
  <c r="I201" i="4"/>
  <c r="D201" i="4"/>
  <c r="C201" i="4"/>
  <c r="B201" i="4"/>
  <c r="A201" i="4" s="1"/>
  <c r="I200" i="4"/>
  <c r="C200" i="4" s="1"/>
  <c r="D200" i="4"/>
  <c r="B200" i="4"/>
  <c r="A200" i="4"/>
  <c r="I199" i="4"/>
  <c r="C199" i="4" s="1"/>
  <c r="D199" i="4"/>
  <c r="A199" i="4" s="1"/>
  <c r="B199" i="4"/>
  <c r="I198" i="4"/>
  <c r="C198" i="4" s="1"/>
  <c r="D198" i="4"/>
  <c r="B198" i="4"/>
  <c r="A198" i="4"/>
  <c r="I197" i="4"/>
  <c r="D197" i="4"/>
  <c r="C197" i="4"/>
  <c r="B197" i="4"/>
  <c r="A197" i="4" s="1"/>
  <c r="I196" i="4"/>
  <c r="C196" i="4" s="1"/>
  <c r="D196" i="4"/>
  <c r="A196" i="4" s="1"/>
  <c r="B196" i="4"/>
  <c r="I195" i="4"/>
  <c r="C195" i="4" s="1"/>
  <c r="D195" i="4"/>
  <c r="A195" i="4" s="1"/>
  <c r="B195" i="4"/>
  <c r="I194" i="4"/>
  <c r="C194" i="4" s="1"/>
  <c r="D194" i="4"/>
  <c r="B194" i="4"/>
  <c r="A194" i="4"/>
  <c r="I193" i="4"/>
  <c r="C193" i="4" s="1"/>
  <c r="D193" i="4"/>
  <c r="B193" i="4"/>
  <c r="A193" i="4" s="1"/>
  <c r="I192" i="4"/>
  <c r="D192" i="4"/>
  <c r="C192" i="4"/>
  <c r="B192" i="4"/>
  <c r="A192" i="4" s="1"/>
  <c r="I191" i="4"/>
  <c r="D191" i="4"/>
  <c r="C191" i="4"/>
  <c r="B191" i="4"/>
  <c r="I190" i="4"/>
  <c r="C190" i="4" s="1"/>
  <c r="D190" i="4"/>
  <c r="B190" i="4"/>
  <c r="A190" i="4" s="1"/>
  <c r="I189" i="4"/>
  <c r="C189" i="4" s="1"/>
  <c r="D189" i="4"/>
  <c r="B189" i="4"/>
  <c r="A189" i="4" s="1"/>
  <c r="I188" i="4"/>
  <c r="C188" i="4" s="1"/>
  <c r="D188" i="4"/>
  <c r="B188" i="4"/>
  <c r="A188" i="4" s="1"/>
  <c r="I187" i="4"/>
  <c r="D187" i="4"/>
  <c r="C187" i="4"/>
  <c r="B187" i="4"/>
  <c r="A187" i="4" s="1"/>
  <c r="I186" i="4"/>
  <c r="C186" i="4" s="1"/>
  <c r="D186" i="4"/>
  <c r="B186" i="4"/>
  <c r="A186" i="4"/>
  <c r="I185" i="4"/>
  <c r="D185" i="4"/>
  <c r="C185" i="4"/>
  <c r="B185" i="4"/>
  <c r="A185" i="4" s="1"/>
  <c r="I184" i="4"/>
  <c r="C184" i="4" s="1"/>
  <c r="D184" i="4"/>
  <c r="B184" i="4"/>
  <c r="A184" i="4"/>
  <c r="I183" i="4"/>
  <c r="C183" i="4" s="1"/>
  <c r="D183" i="4"/>
  <c r="B183" i="4"/>
  <c r="A183" i="4"/>
  <c r="I182" i="4"/>
  <c r="C182" i="4" s="1"/>
  <c r="D182" i="4"/>
  <c r="B182" i="4"/>
  <c r="A182" i="4" s="1"/>
  <c r="I181" i="4"/>
  <c r="D181" i="4"/>
  <c r="C181" i="4"/>
  <c r="B181" i="4"/>
  <c r="A181" i="4" s="1"/>
  <c r="I180" i="4"/>
  <c r="D180" i="4"/>
  <c r="C180" i="4"/>
  <c r="B180" i="4"/>
  <c r="A180" i="4"/>
  <c r="I179" i="4"/>
  <c r="C179" i="4" s="1"/>
  <c r="D179" i="4"/>
  <c r="B179" i="4"/>
  <c r="A179" i="4"/>
  <c r="I178" i="4"/>
  <c r="C178" i="4" s="1"/>
  <c r="D178" i="4"/>
  <c r="A178" i="4" s="1"/>
  <c r="B178" i="4"/>
  <c r="I177" i="4"/>
  <c r="D177" i="4"/>
  <c r="C177" i="4"/>
  <c r="B177" i="4"/>
  <c r="A177" i="4" s="1"/>
  <c r="I176" i="4"/>
  <c r="D176" i="4"/>
  <c r="C176" i="4"/>
  <c r="B176" i="4"/>
  <c r="A176" i="4"/>
  <c r="I175" i="4"/>
  <c r="C175" i="4" s="1"/>
  <c r="D175" i="4"/>
  <c r="A175" i="4" s="1"/>
  <c r="B175" i="4"/>
  <c r="I174" i="4"/>
  <c r="C174" i="4" s="1"/>
  <c r="D174" i="4"/>
  <c r="A174" i="4" s="1"/>
  <c r="B174" i="4"/>
  <c r="I173" i="4"/>
  <c r="C173" i="4" s="1"/>
  <c r="D173" i="4"/>
  <c r="B173" i="4"/>
  <c r="A173" i="4" s="1"/>
  <c r="I172" i="4"/>
  <c r="D172" i="4"/>
  <c r="C172" i="4"/>
  <c r="B172" i="4"/>
  <c r="A172" i="4"/>
  <c r="I171" i="4"/>
  <c r="D171" i="4"/>
  <c r="C171" i="4"/>
  <c r="B171" i="4"/>
  <c r="A171" i="4" s="1"/>
  <c r="I170" i="4"/>
  <c r="D170" i="4"/>
  <c r="C170" i="4"/>
  <c r="B170" i="4"/>
  <c r="A170" i="4" s="1"/>
  <c r="I169" i="4"/>
  <c r="C169" i="4" s="1"/>
  <c r="D169" i="4"/>
  <c r="B169" i="4"/>
  <c r="A169" i="4" s="1"/>
  <c r="I168" i="4"/>
  <c r="C168" i="4" s="1"/>
  <c r="D168" i="4"/>
  <c r="B168" i="4"/>
  <c r="A168" i="4"/>
  <c r="I167" i="4"/>
  <c r="D167" i="4"/>
  <c r="C167" i="4"/>
  <c r="B167" i="4"/>
  <c r="A167" i="4" s="1"/>
  <c r="I166" i="4"/>
  <c r="D166" i="4"/>
  <c r="C166" i="4"/>
  <c r="B166" i="4"/>
  <c r="A166" i="4" s="1"/>
  <c r="I165" i="4"/>
  <c r="D165" i="4"/>
  <c r="C165" i="4"/>
  <c r="B165" i="4"/>
  <c r="I164" i="4"/>
  <c r="C164" i="4" s="1"/>
  <c r="D164" i="4"/>
  <c r="B164" i="4"/>
  <c r="A164" i="4" s="1"/>
  <c r="I163" i="4"/>
  <c r="C163" i="4" s="1"/>
  <c r="D163" i="4"/>
  <c r="A163" i="4" s="1"/>
  <c r="B163" i="4"/>
  <c r="I162" i="4"/>
  <c r="C162" i="4" s="1"/>
  <c r="D162" i="4"/>
  <c r="B162" i="4"/>
  <c r="A162" i="4"/>
  <c r="I161" i="4"/>
  <c r="C161" i="4" s="1"/>
  <c r="D161" i="4"/>
  <c r="B161" i="4"/>
  <c r="A161" i="4" s="1"/>
  <c r="I160" i="4"/>
  <c r="D160" i="4"/>
  <c r="C160" i="4"/>
  <c r="B160" i="4"/>
  <c r="A160" i="4"/>
  <c r="I159" i="4"/>
  <c r="C159" i="4" s="1"/>
  <c r="D159" i="4"/>
  <c r="B159" i="4"/>
  <c r="A159" i="4"/>
  <c r="I158" i="4"/>
  <c r="C158" i="4" s="1"/>
  <c r="D158" i="4"/>
  <c r="A158" i="4" s="1"/>
  <c r="B158" i="4"/>
  <c r="I157" i="4"/>
  <c r="C157" i="4" s="1"/>
  <c r="D157" i="4"/>
  <c r="B157" i="4"/>
  <c r="I156" i="4"/>
  <c r="D156" i="4"/>
  <c r="C156" i="4"/>
  <c r="B156" i="4"/>
  <c r="A156" i="4"/>
  <c r="I155" i="4"/>
  <c r="D155" i="4"/>
  <c r="C155" i="4"/>
  <c r="B155" i="4"/>
  <c r="A155" i="4" s="1"/>
  <c r="I154" i="4"/>
  <c r="C154" i="4" s="1"/>
  <c r="D154" i="4"/>
  <c r="A154" i="4" s="1"/>
  <c r="B154" i="4"/>
  <c r="I153" i="4"/>
  <c r="C153" i="4" s="1"/>
  <c r="D153" i="4"/>
  <c r="B153" i="4"/>
  <c r="I152" i="4"/>
  <c r="C152" i="4" s="1"/>
  <c r="D152" i="4"/>
  <c r="B152" i="4"/>
  <c r="A152" i="4" s="1"/>
  <c r="I151" i="4"/>
  <c r="C151" i="4" s="1"/>
  <c r="D151" i="4"/>
  <c r="B151" i="4"/>
  <c r="A151" i="4"/>
  <c r="I150" i="4"/>
  <c r="C150" i="4" s="1"/>
  <c r="D150" i="4"/>
  <c r="B150" i="4"/>
  <c r="I149" i="4"/>
  <c r="D149" i="4"/>
  <c r="C149" i="4"/>
  <c r="B149" i="4"/>
  <c r="I148" i="4"/>
  <c r="D148" i="4"/>
  <c r="C148" i="4"/>
  <c r="B148" i="4"/>
  <c r="A148" i="4"/>
  <c r="I147" i="4"/>
  <c r="D147" i="4"/>
  <c r="C147" i="4"/>
  <c r="B147" i="4"/>
  <c r="A147" i="4"/>
  <c r="I146" i="4"/>
  <c r="D146" i="4"/>
  <c r="C146" i="4"/>
  <c r="B146" i="4"/>
  <c r="A146" i="4" s="1"/>
  <c r="I145" i="4"/>
  <c r="D145" i="4"/>
  <c r="C145" i="4"/>
  <c r="B145" i="4"/>
  <c r="A145" i="4" s="1"/>
  <c r="I144" i="4"/>
  <c r="C144" i="4" s="1"/>
  <c r="D144" i="4"/>
  <c r="B144" i="4"/>
  <c r="A144" i="4" s="1"/>
  <c r="I143" i="4"/>
  <c r="D143" i="4"/>
  <c r="C143" i="4"/>
  <c r="B143" i="4"/>
  <c r="A143" i="4" s="1"/>
  <c r="I142" i="4"/>
  <c r="D142" i="4"/>
  <c r="C142" i="4"/>
  <c r="B142" i="4"/>
  <c r="A142" i="4"/>
  <c r="I141" i="4"/>
  <c r="C141" i="4" s="1"/>
  <c r="D141" i="4"/>
  <c r="B141" i="4"/>
  <c r="A141" i="4" s="1"/>
  <c r="I140" i="4"/>
  <c r="C140" i="4" s="1"/>
  <c r="D140" i="4"/>
  <c r="B140" i="4"/>
  <c r="A140" i="4" s="1"/>
  <c r="I139" i="4"/>
  <c r="D139" i="4"/>
  <c r="C139" i="4"/>
  <c r="B139" i="4"/>
  <c r="A139" i="4" s="1"/>
  <c r="I138" i="4"/>
  <c r="D138" i="4"/>
  <c r="C138" i="4"/>
  <c r="B138" i="4"/>
  <c r="A138" i="4"/>
  <c r="I137" i="4"/>
  <c r="C137" i="4" s="1"/>
  <c r="D137" i="4"/>
  <c r="B137" i="4"/>
  <c r="A137" i="4"/>
  <c r="I136" i="4"/>
  <c r="C136" i="4" s="1"/>
  <c r="D136" i="4"/>
  <c r="B136" i="4"/>
  <c r="A136" i="4" s="1"/>
  <c r="I135" i="4"/>
  <c r="C135" i="4" s="1"/>
  <c r="D135" i="4"/>
  <c r="B135" i="4"/>
  <c r="A135" i="4" s="1"/>
  <c r="I134" i="4"/>
  <c r="D134" i="4"/>
  <c r="C134" i="4"/>
  <c r="B134" i="4"/>
  <c r="A134" i="4" s="1"/>
  <c r="I133" i="4"/>
  <c r="C133" i="4" s="1"/>
  <c r="D133" i="4"/>
  <c r="B133" i="4"/>
  <c r="A133" i="4"/>
  <c r="I132" i="4"/>
  <c r="C132" i="4" s="1"/>
  <c r="D132" i="4"/>
  <c r="B132" i="4"/>
  <c r="A132" i="4" s="1"/>
  <c r="I131" i="4"/>
  <c r="C131" i="4" s="1"/>
  <c r="D131" i="4"/>
  <c r="B131" i="4"/>
  <c r="A131" i="4" s="1"/>
  <c r="I130" i="4"/>
  <c r="C130" i="4" s="1"/>
  <c r="D130" i="4"/>
  <c r="B130" i="4"/>
  <c r="A130" i="4"/>
  <c r="I129" i="4"/>
  <c r="C129" i="4" s="1"/>
  <c r="D129" i="4"/>
  <c r="B129" i="4"/>
  <c r="A129" i="4" s="1"/>
  <c r="I128" i="4"/>
  <c r="C128" i="4" s="1"/>
  <c r="D128" i="4"/>
  <c r="B128" i="4"/>
  <c r="A128" i="4" s="1"/>
  <c r="I127" i="4"/>
  <c r="C127" i="4" s="1"/>
  <c r="D127" i="4"/>
  <c r="B127" i="4"/>
  <c r="A127" i="4" s="1"/>
  <c r="I126" i="4"/>
  <c r="C126" i="4" s="1"/>
  <c r="D126" i="4"/>
  <c r="B126" i="4"/>
  <c r="A126" i="4" s="1"/>
  <c r="I125" i="4"/>
  <c r="C125" i="4" s="1"/>
  <c r="D125" i="4"/>
  <c r="B125" i="4"/>
  <c r="A125" i="4"/>
  <c r="I124" i="4"/>
  <c r="C124" i="4" s="1"/>
  <c r="D124" i="4"/>
  <c r="B124" i="4"/>
  <c r="A124" i="4" s="1"/>
  <c r="I123" i="4"/>
  <c r="D123" i="4"/>
  <c r="C123" i="4"/>
  <c r="B123" i="4"/>
  <c r="A123" i="4" s="1"/>
  <c r="I122" i="4"/>
  <c r="C122" i="4" s="1"/>
  <c r="D122" i="4"/>
  <c r="B122" i="4"/>
  <c r="A122" i="4"/>
  <c r="I121" i="4"/>
  <c r="C121" i="4" s="1"/>
  <c r="D121" i="4"/>
  <c r="B121" i="4"/>
  <c r="A121" i="4" s="1"/>
  <c r="I120" i="4"/>
  <c r="C120" i="4" s="1"/>
  <c r="D120" i="4"/>
  <c r="B120" i="4"/>
  <c r="A120" i="4" s="1"/>
  <c r="I119" i="4"/>
  <c r="C119" i="4" s="1"/>
  <c r="D119" i="4"/>
  <c r="B119" i="4"/>
  <c r="A119" i="4" s="1"/>
  <c r="I118" i="4"/>
  <c r="D118" i="4"/>
  <c r="C118" i="4"/>
  <c r="B118" i="4"/>
  <c r="A118" i="4"/>
  <c r="I117" i="4"/>
  <c r="C117" i="4" s="1"/>
  <c r="D117" i="4"/>
  <c r="B117" i="4"/>
  <c r="A117" i="4"/>
  <c r="I116" i="4"/>
  <c r="C116" i="4" s="1"/>
  <c r="D116" i="4"/>
  <c r="B116" i="4"/>
  <c r="A116" i="4" s="1"/>
  <c r="I115" i="4"/>
  <c r="C115" i="4" s="1"/>
  <c r="D115" i="4"/>
  <c r="B115" i="4"/>
  <c r="A115" i="4" s="1"/>
  <c r="I114" i="4"/>
  <c r="C114" i="4" s="1"/>
  <c r="D114" i="4"/>
  <c r="B114" i="4"/>
  <c r="A114" i="4" s="1"/>
  <c r="I113" i="4"/>
  <c r="C113" i="4" s="1"/>
  <c r="D113" i="4"/>
  <c r="B113" i="4"/>
  <c r="A113" i="4"/>
  <c r="I112" i="4"/>
  <c r="C112" i="4" s="1"/>
  <c r="D112" i="4"/>
  <c r="B112" i="4"/>
  <c r="A112" i="4" s="1"/>
  <c r="I111" i="4"/>
  <c r="D111" i="4"/>
  <c r="C111" i="4"/>
  <c r="B111" i="4"/>
  <c r="A111" i="4" s="1"/>
  <c r="I110" i="4"/>
  <c r="C110" i="4" s="1"/>
  <c r="D110" i="4"/>
  <c r="B110" i="4"/>
  <c r="A110" i="4"/>
  <c r="I109" i="4"/>
  <c r="C109" i="4" s="1"/>
  <c r="D109" i="4"/>
  <c r="B109" i="4"/>
  <c r="A109" i="4" s="1"/>
  <c r="I108" i="4"/>
  <c r="C108" i="4" s="1"/>
  <c r="D108" i="4"/>
  <c r="B108" i="4"/>
  <c r="A108" i="4" s="1"/>
  <c r="I107" i="4"/>
  <c r="D107" i="4"/>
  <c r="C107" i="4"/>
  <c r="B107" i="4"/>
  <c r="A107" i="4" s="1"/>
  <c r="I106" i="4"/>
  <c r="D106" i="4"/>
  <c r="C106" i="4"/>
  <c r="B106" i="4"/>
  <c r="A106" i="4" s="1"/>
  <c r="I105" i="4"/>
  <c r="C105" i="4" s="1"/>
  <c r="D105" i="4"/>
  <c r="B105" i="4"/>
  <c r="A105" i="4"/>
  <c r="I104" i="4"/>
  <c r="C104" i="4" s="1"/>
  <c r="D104" i="4"/>
  <c r="B104" i="4"/>
  <c r="A104" i="4" s="1"/>
  <c r="I103" i="4"/>
  <c r="D103" i="4"/>
  <c r="C103" i="4"/>
  <c r="B103" i="4"/>
  <c r="A103" i="4" s="1"/>
  <c r="I102" i="4"/>
  <c r="D102" i="4"/>
  <c r="C102" i="4"/>
  <c r="B102" i="4"/>
  <c r="A102" i="4"/>
  <c r="I101" i="4"/>
  <c r="C101" i="4" s="1"/>
  <c r="D101" i="4"/>
  <c r="B101" i="4"/>
  <c r="A101" i="4" s="1"/>
  <c r="I100" i="4"/>
  <c r="C100" i="4" s="1"/>
  <c r="D100" i="4"/>
  <c r="B100" i="4"/>
  <c r="A100" i="4" s="1"/>
  <c r="I99" i="4"/>
  <c r="C99" i="4" s="1"/>
  <c r="D99" i="4"/>
  <c r="B99" i="4"/>
  <c r="A99" i="4" s="1"/>
  <c r="I98" i="4"/>
  <c r="C98" i="4" s="1"/>
  <c r="D98" i="4"/>
  <c r="B98" i="4"/>
  <c r="A98" i="4"/>
  <c r="I97" i="4"/>
  <c r="C97" i="4" s="1"/>
  <c r="D97" i="4"/>
  <c r="B97" i="4"/>
  <c r="A97" i="4"/>
  <c r="I96" i="4"/>
  <c r="C96" i="4" s="1"/>
  <c r="D96" i="4"/>
  <c r="B96" i="4"/>
  <c r="A96" i="4" s="1"/>
  <c r="I95" i="4"/>
  <c r="D95" i="4"/>
  <c r="C95" i="4"/>
  <c r="B95" i="4"/>
  <c r="A95" i="4" s="1"/>
  <c r="I94" i="4"/>
  <c r="C94" i="4" s="1"/>
  <c r="D94" i="4"/>
  <c r="B94" i="4"/>
  <c r="A94" i="4" s="1"/>
  <c r="I93" i="4"/>
  <c r="C93" i="4" s="1"/>
  <c r="D93" i="4"/>
  <c r="B93" i="4"/>
  <c r="A93" i="4"/>
  <c r="I92" i="4"/>
  <c r="C92" i="4" s="1"/>
  <c r="D92" i="4"/>
  <c r="B92" i="4"/>
  <c r="A92" i="4" s="1"/>
  <c r="I91" i="4"/>
  <c r="D91" i="4"/>
  <c r="C91" i="4"/>
  <c r="B91" i="4"/>
  <c r="A91" i="4" s="1"/>
  <c r="I90" i="4"/>
  <c r="D90" i="4"/>
  <c r="C90" i="4"/>
  <c r="B90" i="4"/>
  <c r="A90" i="4"/>
  <c r="I89" i="4"/>
  <c r="C89" i="4" s="1"/>
  <c r="D89" i="4"/>
  <c r="B89" i="4"/>
  <c r="A89" i="4" s="1"/>
  <c r="I88" i="4"/>
  <c r="C88" i="4" s="1"/>
  <c r="D88" i="4"/>
  <c r="B88" i="4"/>
  <c r="A88" i="4" s="1"/>
  <c r="I87" i="4"/>
  <c r="D87" i="4"/>
  <c r="C87" i="4"/>
  <c r="B87" i="4"/>
  <c r="A87" i="4" s="1"/>
  <c r="I86" i="4"/>
  <c r="D86" i="4"/>
  <c r="C86" i="4"/>
  <c r="B86" i="4"/>
  <c r="A86" i="4" s="1"/>
  <c r="I85" i="4"/>
  <c r="C85" i="4" s="1"/>
  <c r="D85" i="4"/>
  <c r="B85" i="4"/>
  <c r="A85" i="4"/>
  <c r="I84" i="4"/>
  <c r="C84" i="4" s="1"/>
  <c r="D84" i="4"/>
  <c r="B84" i="4"/>
  <c r="A84" i="4" s="1"/>
  <c r="I83" i="4"/>
  <c r="C83" i="4" s="1"/>
  <c r="D83" i="4"/>
  <c r="B83" i="4"/>
  <c r="A83" i="4" s="1"/>
  <c r="I82" i="4"/>
  <c r="C82" i="4" s="1"/>
  <c r="D82" i="4"/>
  <c r="A82" i="4" s="1"/>
  <c r="B82" i="4"/>
  <c r="I81" i="4"/>
  <c r="C81" i="4" s="1"/>
  <c r="D81" i="4"/>
  <c r="B81" i="4"/>
  <c r="A81" i="4" s="1"/>
  <c r="I80" i="4"/>
  <c r="C80" i="4" s="1"/>
  <c r="D80" i="4"/>
  <c r="B80" i="4"/>
  <c r="A80" i="4" s="1"/>
  <c r="I79" i="4"/>
  <c r="D79" i="4"/>
  <c r="C79" i="4"/>
  <c r="B79" i="4"/>
  <c r="A79" i="4" s="1"/>
  <c r="I78" i="4"/>
  <c r="C78" i="4" s="1"/>
  <c r="D78" i="4"/>
  <c r="B78" i="4"/>
  <c r="A78" i="4"/>
  <c r="I77" i="4"/>
  <c r="C77" i="4" s="1"/>
  <c r="D77" i="4"/>
  <c r="B77" i="4"/>
  <c r="A77" i="4"/>
  <c r="I76" i="4"/>
  <c r="C76" i="4" s="1"/>
  <c r="D76" i="4"/>
  <c r="B76" i="4"/>
  <c r="A76" i="4" s="1"/>
  <c r="I75" i="4"/>
  <c r="D75" i="4"/>
  <c r="C75" i="4"/>
  <c r="B75" i="4"/>
  <c r="A75" i="4" s="1"/>
  <c r="I74" i="4"/>
  <c r="D74" i="4"/>
  <c r="C74" i="4"/>
  <c r="B74" i="4"/>
  <c r="A74" i="4" s="1"/>
  <c r="I73" i="4"/>
  <c r="C73" i="4" s="1"/>
  <c r="D73" i="4"/>
  <c r="B73" i="4"/>
  <c r="A73" i="4"/>
  <c r="I72" i="4"/>
  <c r="C72" i="4" s="1"/>
  <c r="D72" i="4"/>
  <c r="B72" i="4"/>
  <c r="A72" i="4" s="1"/>
  <c r="I71" i="4"/>
  <c r="C71" i="4" s="1"/>
  <c r="D71" i="4"/>
  <c r="B71" i="4"/>
  <c r="A71" i="4" s="1"/>
  <c r="I70" i="4"/>
  <c r="D70" i="4"/>
  <c r="C70" i="4"/>
  <c r="B70" i="4"/>
  <c r="A70" i="4"/>
  <c r="I69" i="4"/>
  <c r="C69" i="4" s="1"/>
  <c r="D69" i="4"/>
  <c r="B69" i="4"/>
  <c r="A69" i="4" s="1"/>
  <c r="I68" i="4"/>
  <c r="C68" i="4" s="1"/>
  <c r="D68" i="4"/>
  <c r="B68" i="4"/>
  <c r="A68" i="4" s="1"/>
  <c r="I67" i="4"/>
  <c r="C67" i="4" s="1"/>
  <c r="D67" i="4"/>
  <c r="B67" i="4"/>
  <c r="A67" i="4" s="1"/>
  <c r="I66" i="4"/>
  <c r="C66" i="4" s="1"/>
  <c r="D66" i="4"/>
  <c r="B66" i="4"/>
  <c r="A66" i="4" s="1"/>
  <c r="I65" i="4"/>
  <c r="C65" i="4" s="1"/>
  <c r="D65" i="4"/>
  <c r="B65" i="4"/>
  <c r="A65" i="4"/>
  <c r="I64" i="4"/>
  <c r="C64" i="4" s="1"/>
  <c r="D64" i="4"/>
  <c r="B64" i="4"/>
  <c r="A64" i="4" s="1"/>
  <c r="I63" i="4"/>
  <c r="D63" i="4"/>
  <c r="C63" i="4"/>
  <c r="B63" i="4"/>
  <c r="A63" i="4" s="1"/>
  <c r="I62" i="4"/>
  <c r="C62" i="4" s="1"/>
  <c r="D62" i="4"/>
  <c r="A62" i="4" s="1"/>
  <c r="B62" i="4"/>
  <c r="I61" i="4"/>
  <c r="C61" i="4" s="1"/>
  <c r="D61" i="4"/>
  <c r="B61" i="4"/>
  <c r="A61" i="4" s="1"/>
  <c r="I60" i="4"/>
  <c r="C60" i="4" s="1"/>
  <c r="D60" i="4"/>
  <c r="B60" i="4"/>
  <c r="A60" i="4" s="1"/>
  <c r="I59" i="4"/>
  <c r="D59" i="4"/>
  <c r="C59" i="4"/>
  <c r="B59" i="4"/>
  <c r="A59" i="4" s="1"/>
  <c r="I58" i="4"/>
  <c r="C58" i="4" s="1"/>
  <c r="D58" i="4"/>
  <c r="B58" i="4"/>
  <c r="A58" i="4"/>
  <c r="I57" i="4"/>
  <c r="C57" i="4" s="1"/>
  <c r="D57" i="4"/>
  <c r="B57" i="4"/>
  <c r="A57" i="4"/>
  <c r="I56" i="4"/>
  <c r="C56" i="4" s="1"/>
  <c r="D56" i="4"/>
  <c r="B56" i="4"/>
  <c r="A56" i="4" s="1"/>
  <c r="I55" i="4"/>
  <c r="C55" i="4" s="1"/>
  <c r="D55" i="4"/>
  <c r="B55" i="4"/>
  <c r="A55" i="4" s="1"/>
  <c r="I54" i="4"/>
  <c r="C54" i="4" s="1"/>
  <c r="D54" i="4"/>
  <c r="B54" i="4"/>
  <c r="A54" i="4" s="1"/>
  <c r="I53" i="4"/>
  <c r="C53" i="4" s="1"/>
  <c r="D53" i="4"/>
  <c r="B53" i="4"/>
  <c r="A53" i="4"/>
  <c r="I52" i="4"/>
  <c r="C52" i="4" s="1"/>
  <c r="D52" i="4"/>
  <c r="B52" i="4"/>
  <c r="A52" i="4" s="1"/>
  <c r="I51" i="4"/>
  <c r="D51" i="4"/>
  <c r="C51" i="4"/>
  <c r="B51" i="4"/>
  <c r="A51" i="4" s="1"/>
  <c r="I50" i="4"/>
  <c r="C50" i="4" s="1"/>
  <c r="D50" i="4"/>
  <c r="B50" i="4"/>
  <c r="A50" i="4"/>
  <c r="I49" i="4"/>
  <c r="C49" i="4" s="1"/>
  <c r="D49" i="4"/>
  <c r="B49" i="4"/>
  <c r="A49" i="4" s="1"/>
  <c r="I48" i="4"/>
  <c r="C48" i="4" s="1"/>
  <c r="D48" i="4"/>
  <c r="B48" i="4"/>
  <c r="A48" i="4" s="1"/>
  <c r="I47" i="4"/>
  <c r="D47" i="4"/>
  <c r="C47" i="4"/>
  <c r="B47" i="4"/>
  <c r="A47" i="4" s="1"/>
  <c r="I46" i="4"/>
  <c r="D46" i="4"/>
  <c r="C46" i="4"/>
  <c r="B46" i="4"/>
  <c r="A46" i="4" s="1"/>
  <c r="I45" i="4"/>
  <c r="C45" i="4" s="1"/>
  <c r="D45" i="4"/>
  <c r="B45" i="4"/>
  <c r="A45" i="4"/>
  <c r="I44" i="4"/>
  <c r="C44" i="4" s="1"/>
  <c r="D44" i="4"/>
  <c r="B44" i="4"/>
  <c r="A44" i="4" s="1"/>
  <c r="I43" i="4"/>
  <c r="C43" i="4" s="1"/>
  <c r="D43" i="4"/>
  <c r="B43" i="4"/>
  <c r="A43" i="4" s="1"/>
  <c r="I42" i="4"/>
  <c r="C42" i="4" s="1"/>
  <c r="D42" i="4"/>
  <c r="A42" i="4" s="1"/>
  <c r="B42" i="4"/>
  <c r="I41" i="4"/>
  <c r="C41" i="4" s="1"/>
  <c r="D41" i="4"/>
  <c r="B41" i="4"/>
  <c r="A41" i="4" s="1"/>
  <c r="I40" i="4"/>
  <c r="C40" i="4" s="1"/>
  <c r="D40" i="4"/>
  <c r="B40" i="4"/>
  <c r="A40" i="4" s="1"/>
  <c r="I39" i="4"/>
  <c r="C39" i="4" s="1"/>
  <c r="D39" i="4"/>
  <c r="B39" i="4"/>
  <c r="A39" i="4" s="1"/>
  <c r="I38" i="4"/>
  <c r="C38" i="4" s="1"/>
  <c r="D38" i="4"/>
  <c r="B38" i="4"/>
  <c r="A38" i="4"/>
  <c r="I37" i="4"/>
  <c r="C37" i="4" s="1"/>
  <c r="D37" i="4"/>
  <c r="B37" i="4"/>
  <c r="A37" i="4"/>
  <c r="I36" i="4"/>
  <c r="C36" i="4" s="1"/>
  <c r="D36" i="4"/>
  <c r="B36" i="4"/>
  <c r="A36" i="4" s="1"/>
  <c r="I35" i="4"/>
  <c r="D35" i="4"/>
  <c r="C35" i="4"/>
  <c r="B35" i="4"/>
  <c r="A35" i="4" s="1"/>
  <c r="I34" i="4"/>
  <c r="C34" i="4" s="1"/>
  <c r="D34" i="4"/>
  <c r="B34" i="4"/>
  <c r="A34" i="4" s="1"/>
  <c r="I33" i="4"/>
  <c r="C33" i="4" s="1"/>
  <c r="D33" i="4"/>
  <c r="B33" i="4"/>
  <c r="A33" i="4"/>
  <c r="I32" i="4"/>
  <c r="C32" i="4" s="1"/>
  <c r="D32" i="4"/>
  <c r="B32" i="4"/>
  <c r="A32" i="4" s="1"/>
  <c r="I31" i="4"/>
  <c r="D31" i="4"/>
  <c r="C31" i="4"/>
  <c r="B31" i="4"/>
  <c r="A31" i="4" s="1"/>
  <c r="I30" i="4"/>
  <c r="C30" i="4" s="1"/>
  <c r="D30" i="4"/>
  <c r="B30" i="4"/>
  <c r="A30" i="4"/>
  <c r="I29" i="4"/>
  <c r="C29" i="4" s="1"/>
  <c r="D29" i="4"/>
  <c r="B29" i="4"/>
  <c r="A29" i="4" s="1"/>
  <c r="I28" i="4"/>
  <c r="C28" i="4" s="1"/>
  <c r="D28" i="4"/>
  <c r="B28" i="4"/>
  <c r="A28" i="4" s="1"/>
  <c r="I27" i="4"/>
  <c r="C27" i="4" s="1"/>
  <c r="D27" i="4"/>
  <c r="B27" i="4"/>
  <c r="A27" i="4" s="1"/>
  <c r="I26" i="4"/>
  <c r="D26" i="4"/>
  <c r="C26" i="4"/>
  <c r="B26" i="4"/>
  <c r="A26" i="4" s="1"/>
  <c r="I25" i="4"/>
  <c r="C25" i="4" s="1"/>
  <c r="D25" i="4"/>
  <c r="B25" i="4"/>
  <c r="A25" i="4"/>
  <c r="I24" i="4"/>
  <c r="C24" i="4" s="1"/>
  <c r="D24" i="4"/>
  <c r="B24" i="4"/>
  <c r="A24" i="4" s="1"/>
  <c r="I23" i="4"/>
  <c r="D23" i="4"/>
  <c r="C23" i="4"/>
  <c r="B23" i="4"/>
  <c r="A23" i="4" s="1"/>
  <c r="I22" i="4"/>
  <c r="C22" i="4" s="1"/>
  <c r="D22" i="4"/>
  <c r="A22" i="4" s="1"/>
  <c r="B22" i="4"/>
  <c r="I21" i="4"/>
  <c r="C21" i="4" s="1"/>
  <c r="D21" i="4"/>
  <c r="B21" i="4"/>
  <c r="A21" i="4" s="1"/>
  <c r="I20" i="4"/>
  <c r="C20" i="4" s="1"/>
  <c r="D20" i="4"/>
  <c r="B20" i="4"/>
  <c r="A20" i="4" s="1"/>
  <c r="I19" i="4"/>
  <c r="D19" i="4"/>
  <c r="C19" i="4"/>
  <c r="B19" i="4"/>
  <c r="A19" i="4" s="1"/>
  <c r="I18" i="4"/>
  <c r="C18" i="4" s="1"/>
  <c r="D18" i="4"/>
  <c r="B18" i="4"/>
  <c r="A18" i="4"/>
  <c r="I17" i="4"/>
  <c r="C17" i="4" s="1"/>
  <c r="D17" i="4"/>
  <c r="B17" i="4"/>
  <c r="A17" i="4"/>
  <c r="I16" i="4"/>
  <c r="C16" i="4" s="1"/>
  <c r="D16" i="4"/>
  <c r="B16" i="4"/>
  <c r="A16" i="4" s="1"/>
  <c r="I15" i="4"/>
  <c r="D15" i="4"/>
  <c r="C15" i="4"/>
  <c r="B15" i="4"/>
  <c r="A15" i="4" s="1"/>
  <c r="I14" i="4"/>
  <c r="C14" i="4" s="1"/>
  <c r="D14" i="4"/>
  <c r="B14" i="4"/>
  <c r="A14" i="4" s="1"/>
  <c r="I13" i="4"/>
  <c r="C13" i="4" s="1"/>
  <c r="D13" i="4"/>
  <c r="B13" i="4"/>
  <c r="A13" i="4"/>
  <c r="I12" i="4"/>
  <c r="C12" i="4" s="1"/>
  <c r="D12" i="4"/>
  <c r="B12" i="4"/>
  <c r="A12" i="4" s="1"/>
  <c r="I11" i="4"/>
  <c r="C11" i="4" s="1"/>
  <c r="D11" i="4"/>
  <c r="B11" i="4"/>
  <c r="A11" i="4" s="1"/>
  <c r="I10" i="4"/>
  <c r="C10" i="4" s="1"/>
  <c r="D10" i="4"/>
  <c r="M5" i="3" s="1"/>
  <c r="B10" i="4"/>
  <c r="A10" i="4"/>
  <c r="I9" i="4"/>
  <c r="C9" i="4" s="1"/>
  <c r="D9" i="4"/>
  <c r="B9" i="4"/>
  <c r="A9" i="4" s="1"/>
  <c r="I8" i="4"/>
  <c r="C8" i="4" s="1"/>
  <c r="D8" i="4"/>
  <c r="B8" i="4"/>
  <c r="A8" i="4" s="1"/>
  <c r="I7" i="4"/>
  <c r="D7" i="4"/>
  <c r="C7" i="4"/>
  <c r="B7" i="4"/>
  <c r="A7" i="4" s="1"/>
  <c r="I6" i="4"/>
  <c r="D6" i="4"/>
  <c r="H5" i="3" s="1"/>
  <c r="C6" i="4"/>
  <c r="B6" i="4"/>
  <c r="A6" i="4" s="1"/>
  <c r="I5" i="4"/>
  <c r="C5" i="4" s="1"/>
  <c r="D5" i="4"/>
  <c r="B5" i="4"/>
  <c r="A5" i="4"/>
  <c r="I4" i="4"/>
  <c r="C4" i="4" s="1"/>
  <c r="D4" i="4"/>
  <c r="B4" i="4"/>
  <c r="A4" i="4" s="1"/>
  <c r="M21" i="3"/>
  <c r="L21" i="3"/>
  <c r="K21" i="3"/>
  <c r="J21" i="3"/>
  <c r="I21" i="3"/>
  <c r="H21" i="3"/>
  <c r="E21" i="3"/>
  <c r="M20" i="3"/>
  <c r="L20" i="3"/>
  <c r="K20" i="3"/>
  <c r="J20" i="3"/>
  <c r="I20" i="3"/>
  <c r="H20" i="3"/>
  <c r="E20" i="3"/>
  <c r="C20" i="3"/>
  <c r="M19" i="3"/>
  <c r="L19" i="3"/>
  <c r="K19" i="3"/>
  <c r="J19" i="3"/>
  <c r="I19" i="3"/>
  <c r="H19" i="3"/>
  <c r="E19" i="3"/>
  <c r="C19" i="3"/>
  <c r="F19" i="3" s="1"/>
  <c r="M18" i="3"/>
  <c r="L18" i="3"/>
  <c r="K18" i="3"/>
  <c r="J18" i="3"/>
  <c r="I18" i="3"/>
  <c r="H18" i="3"/>
  <c r="E18" i="3"/>
  <c r="F18" i="3" s="1"/>
  <c r="C18" i="3"/>
  <c r="M17" i="3"/>
  <c r="L17" i="3"/>
  <c r="K17" i="3"/>
  <c r="J17" i="3"/>
  <c r="I17" i="3"/>
  <c r="H17" i="3"/>
  <c r="E17" i="3"/>
  <c r="C17" i="3"/>
  <c r="L16" i="3"/>
  <c r="K16" i="3"/>
  <c r="J16" i="3"/>
  <c r="I16" i="3"/>
  <c r="H16" i="3"/>
  <c r="E16" i="3"/>
  <c r="C16" i="3"/>
  <c r="M15" i="3"/>
  <c r="L15" i="3"/>
  <c r="K15" i="3"/>
  <c r="K22" i="3" s="1"/>
  <c r="J15" i="3"/>
  <c r="J22" i="3" s="1"/>
  <c r="I15" i="3"/>
  <c r="I22" i="3" s="1"/>
  <c r="H15" i="3"/>
  <c r="H22" i="3" s="1"/>
  <c r="E15" i="3"/>
  <c r="E22" i="3" s="1"/>
  <c r="C15" i="3"/>
  <c r="M13" i="3"/>
  <c r="L13" i="3"/>
  <c r="K13" i="3"/>
  <c r="J13" i="3"/>
  <c r="I13" i="3"/>
  <c r="H13" i="3"/>
  <c r="E13" i="3"/>
  <c r="F13" i="3" s="1"/>
  <c r="C13" i="3"/>
  <c r="M12" i="3"/>
  <c r="L12" i="3"/>
  <c r="K12" i="3"/>
  <c r="J12" i="3"/>
  <c r="I12" i="3"/>
  <c r="H12" i="3"/>
  <c r="E12" i="3"/>
  <c r="F12" i="3" s="1"/>
  <c r="C12" i="3"/>
  <c r="M11" i="3"/>
  <c r="L11" i="3"/>
  <c r="K11" i="3"/>
  <c r="J11" i="3"/>
  <c r="I11" i="3"/>
  <c r="E11" i="3"/>
  <c r="M10" i="3"/>
  <c r="L10" i="3"/>
  <c r="K10" i="3"/>
  <c r="J10" i="3"/>
  <c r="I10" i="3"/>
  <c r="H10" i="3"/>
  <c r="E10" i="3"/>
  <c r="G10" i="3" s="1"/>
  <c r="C10" i="3"/>
  <c r="M9" i="3"/>
  <c r="L9" i="3"/>
  <c r="K9" i="3"/>
  <c r="J9" i="3"/>
  <c r="I9" i="3"/>
  <c r="E9" i="3"/>
  <c r="M8" i="3"/>
  <c r="L8" i="3"/>
  <c r="K8" i="3"/>
  <c r="J8" i="3"/>
  <c r="I8" i="3"/>
  <c r="H8" i="3"/>
  <c r="E8" i="3"/>
  <c r="C8" i="3"/>
  <c r="M7" i="3"/>
  <c r="L7" i="3"/>
  <c r="K7" i="3"/>
  <c r="J7" i="3"/>
  <c r="I7" i="3"/>
  <c r="E7" i="3"/>
  <c r="C7" i="3"/>
  <c r="M6" i="3"/>
  <c r="L6" i="3"/>
  <c r="K6" i="3"/>
  <c r="K14" i="3" s="1"/>
  <c r="J6" i="3"/>
  <c r="I6" i="3"/>
  <c r="H6" i="3"/>
  <c r="E6" i="3"/>
  <c r="C6" i="3"/>
  <c r="K5" i="3"/>
  <c r="J5" i="3"/>
  <c r="I5" i="3"/>
  <c r="I14" i="3" s="1"/>
  <c r="E5" i="3"/>
  <c r="F5" i="3" s="1"/>
  <c r="C5" i="3"/>
  <c r="K262" i="2"/>
  <c r="D262" i="2"/>
  <c r="K261" i="2"/>
  <c r="D261" i="2"/>
  <c r="K260" i="2"/>
  <c r="D260" i="2"/>
  <c r="K259" i="2"/>
  <c r="D259" i="2"/>
  <c r="K258" i="2"/>
  <c r="D258" i="2"/>
  <c r="K257" i="2"/>
  <c r="D257" i="2"/>
  <c r="K256" i="2"/>
  <c r="D256" i="2"/>
  <c r="K255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AI226" i="2"/>
  <c r="AH226" i="2"/>
  <c r="D226" i="2"/>
  <c r="AH225" i="2"/>
  <c r="AI225" i="2" s="1"/>
  <c r="D225" i="2"/>
  <c r="AI224" i="2"/>
  <c r="AH224" i="2"/>
  <c r="D224" i="2"/>
  <c r="D223" i="2"/>
  <c r="AH222" i="2"/>
  <c r="AI222" i="2" s="1"/>
  <c r="D222" i="2"/>
  <c r="AH221" i="2"/>
  <c r="AI221" i="2" s="1"/>
  <c r="D221" i="2"/>
  <c r="AH220" i="2"/>
  <c r="AI220" i="2" s="1"/>
  <c r="D220" i="2"/>
  <c r="D219" i="2"/>
  <c r="AH218" i="2"/>
  <c r="AI218" i="2" s="1"/>
  <c r="D218" i="2"/>
  <c r="AH217" i="2"/>
  <c r="AI217" i="2" s="1"/>
  <c r="D217" i="2"/>
  <c r="AI216" i="2"/>
  <c r="AH216" i="2"/>
  <c r="D216" i="2"/>
  <c r="AI215" i="2"/>
  <c r="AH215" i="2"/>
  <c r="D215" i="2"/>
  <c r="AH214" i="2"/>
  <c r="AI214" i="2" s="1"/>
  <c r="D214" i="2"/>
  <c r="AI213" i="2"/>
  <c r="AH213" i="2"/>
  <c r="D213" i="2"/>
  <c r="AH212" i="2"/>
  <c r="AI212" i="2" s="1"/>
  <c r="D212" i="2"/>
  <c r="AH211" i="2"/>
  <c r="AI211" i="2" s="1"/>
  <c r="D211" i="2"/>
  <c r="AI210" i="2"/>
  <c r="AH210" i="2"/>
  <c r="D210" i="2"/>
  <c r="AH209" i="2"/>
  <c r="AI209" i="2" s="1"/>
  <c r="D209" i="2"/>
  <c r="AH208" i="2"/>
  <c r="AI208" i="2" s="1"/>
  <c r="D208" i="2"/>
  <c r="AH207" i="2"/>
  <c r="AI207" i="2" s="1"/>
  <c r="D207" i="2"/>
  <c r="AH206" i="2"/>
  <c r="AI206" i="2" s="1"/>
  <c r="D206" i="2"/>
  <c r="D205" i="2"/>
  <c r="D204" i="2"/>
  <c r="AH203" i="2"/>
  <c r="AI203" i="2" s="1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K171" i="2"/>
  <c r="D171" i="2"/>
  <c r="K170" i="2"/>
  <c r="D170" i="2"/>
  <c r="K169" i="2"/>
  <c r="D169" i="2"/>
  <c r="K168" i="2"/>
  <c r="D168" i="2"/>
  <c r="K167" i="2"/>
  <c r="D167" i="2"/>
  <c r="K166" i="2"/>
  <c r="D166" i="2"/>
  <c r="K165" i="2"/>
  <c r="D165" i="2"/>
  <c r="K164" i="2"/>
  <c r="D164" i="2"/>
  <c r="K163" i="2"/>
  <c r="D163" i="2"/>
  <c r="K162" i="2"/>
  <c r="D162" i="2"/>
  <c r="K161" i="2"/>
  <c r="D161" i="2"/>
  <c r="K160" i="2"/>
  <c r="D160" i="2"/>
  <c r="K159" i="2"/>
  <c r="D159" i="2"/>
  <c r="K158" i="2"/>
  <c r="D158" i="2"/>
  <c r="K157" i="2"/>
  <c r="D157" i="2"/>
  <c r="K156" i="2"/>
  <c r="D156" i="2"/>
  <c r="K155" i="2"/>
  <c r="D155" i="2"/>
  <c r="K154" i="2"/>
  <c r="D154" i="2"/>
  <c r="K153" i="2"/>
  <c r="D153" i="2"/>
  <c r="K152" i="2"/>
  <c r="D152" i="2"/>
  <c r="K151" i="2"/>
  <c r="D151" i="2"/>
  <c r="K150" i="2"/>
  <c r="D150" i="2"/>
  <c r="K149" i="2"/>
  <c r="D149" i="2"/>
  <c r="K148" i="2"/>
  <c r="D148" i="2"/>
  <c r="K147" i="2"/>
  <c r="D147" i="2"/>
  <c r="D146" i="2"/>
  <c r="D145" i="2"/>
  <c r="AI144" i="2"/>
  <c r="D144" i="2"/>
  <c r="AI143" i="2"/>
  <c r="D143" i="2"/>
  <c r="AI142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AH39" i="2"/>
  <c r="AI39" i="2" s="1"/>
  <c r="D39" i="2"/>
  <c r="AH38" i="2"/>
  <c r="AI38" i="2" s="1"/>
  <c r="D38" i="2"/>
  <c r="D37" i="2"/>
  <c r="D36" i="2"/>
  <c r="D35" i="2"/>
  <c r="D34" i="2"/>
  <c r="AH33" i="2"/>
  <c r="AI33" i="2" s="1"/>
  <c r="D33" i="2"/>
  <c r="AH32" i="2"/>
  <c r="AI32" i="2" s="1"/>
  <c r="D32" i="2"/>
  <c r="AI31" i="2"/>
  <c r="AH31" i="2"/>
  <c r="D31" i="2"/>
  <c r="AH30" i="2"/>
  <c r="AI30" i="2" s="1"/>
  <c r="D30" i="2"/>
  <c r="D29" i="2"/>
  <c r="D28" i="2"/>
  <c r="AH27" i="2"/>
  <c r="AI27" i="2" s="1"/>
  <c r="D27" i="2"/>
  <c r="AH26" i="2"/>
  <c r="AI26" i="2" s="1"/>
  <c r="D26" i="2"/>
  <c r="D25" i="2"/>
  <c r="D24" i="2"/>
  <c r="D23" i="2"/>
  <c r="D22" i="2"/>
  <c r="D21" i="2"/>
  <c r="D20" i="2"/>
  <c r="D19" i="2"/>
  <c r="D18" i="2"/>
  <c r="AI17" i="2"/>
  <c r="AH17" i="2"/>
  <c r="D17" i="2"/>
  <c r="D16" i="2"/>
  <c r="AH15" i="2"/>
  <c r="AI15" i="2" s="1"/>
  <c r="D15" i="2"/>
  <c r="AH14" i="2"/>
  <c r="AI14" i="2" s="1"/>
  <c r="D14" i="2"/>
  <c r="AI13" i="2"/>
  <c r="AH13" i="2"/>
  <c r="D13" i="2"/>
  <c r="AH12" i="2"/>
  <c r="AI12" i="2" s="1"/>
  <c r="D12" i="2"/>
  <c r="D11" i="2"/>
  <c r="AH10" i="2"/>
  <c r="AI10" i="2" s="1"/>
  <c r="D10" i="2"/>
  <c r="D9" i="2"/>
  <c r="AH8" i="2"/>
  <c r="AI8" i="2" s="1"/>
  <c r="D8" i="2"/>
  <c r="D7" i="2"/>
  <c r="AH6" i="2"/>
  <c r="AI6" i="2" s="1"/>
  <c r="AH21" i="2" s="1"/>
  <c r="AI21" i="2" s="1"/>
  <c r="AH22" i="2" s="1"/>
  <c r="AI22" i="2" s="1"/>
  <c r="AH7" i="2" s="1"/>
  <c r="AI7" i="2" s="1"/>
  <c r="AH16" i="2" s="1"/>
  <c r="AI16" i="2" s="1"/>
  <c r="AH19" i="2" s="1"/>
  <c r="AI19" i="2" s="1"/>
  <c r="D6" i="2"/>
  <c r="D5" i="2"/>
  <c r="G17" i="3" l="1"/>
  <c r="D8" i="3"/>
  <c r="D12" i="3"/>
  <c r="D6" i="3"/>
  <c r="D21" i="3"/>
  <c r="G21" i="3" s="1"/>
  <c r="D5" i="3"/>
  <c r="G5" i="3" s="1"/>
  <c r="D16" i="3"/>
  <c r="G16" i="3" s="1"/>
  <c r="D20" i="3"/>
  <c r="D15" i="3"/>
  <c r="D11" i="3"/>
  <c r="G11" i="3" s="1"/>
  <c r="G20" i="3"/>
  <c r="K23" i="3"/>
  <c r="G8" i="3"/>
  <c r="G6" i="3"/>
  <c r="E14" i="3"/>
  <c r="L5" i="3"/>
  <c r="L14" i="3" s="1"/>
  <c r="A149" i="4"/>
  <c r="H9" i="3"/>
  <c r="A220" i="4"/>
  <c r="A230" i="4"/>
  <c r="D9" i="3"/>
  <c r="G9" i="3" s="1"/>
  <c r="F10" i="3"/>
  <c r="A221" i="4"/>
  <c r="C9" i="3"/>
  <c r="C14" i="3" s="1"/>
  <c r="C23" i="3" s="1"/>
  <c r="F17" i="3"/>
  <c r="M14" i="3"/>
  <c r="D7" i="3"/>
  <c r="G7" i="3" s="1"/>
  <c r="A150" i="4"/>
  <c r="A212" i="4"/>
  <c r="F15" i="3"/>
  <c r="A250" i="4"/>
  <c r="A331" i="4"/>
  <c r="F8" i="3"/>
  <c r="G15" i="3"/>
  <c r="F6" i="3"/>
  <c r="D13" i="3"/>
  <c r="G13" i="3" s="1"/>
  <c r="G12" i="3"/>
  <c r="J14" i="3"/>
  <c r="J23" i="3" s="1"/>
  <c r="L22" i="3"/>
  <c r="A271" i="4"/>
  <c r="I23" i="3"/>
  <c r="M22" i="3"/>
  <c r="H7" i="3"/>
  <c r="H14" i="3" s="1"/>
  <c r="H23" i="3" s="1"/>
  <c r="A209" i="4"/>
  <c r="A302" i="4"/>
  <c r="C11" i="3"/>
  <c r="F11" i="3" s="1"/>
  <c r="A323" i="4"/>
  <c r="F16" i="3"/>
  <c r="A272" i="4"/>
  <c r="A318" i="4"/>
  <c r="A344" i="4"/>
  <c r="D18" i="3"/>
  <c r="G18" i="3" s="1"/>
  <c r="A229" i="4"/>
  <c r="F7" i="3"/>
  <c r="A191" i="4"/>
  <c r="C21" i="3"/>
  <c r="C22" i="3" s="1"/>
  <c r="F22" i="3" s="1"/>
  <c r="A217" i="4"/>
  <c r="A297" i="4"/>
  <c r="A377" i="4"/>
  <c r="A457" i="4"/>
  <c r="A213" i="4"/>
  <c r="A293" i="4"/>
  <c r="A373" i="4"/>
  <c r="A453" i="4"/>
  <c r="A519" i="4"/>
  <c r="A369" i="4"/>
  <c r="A449" i="4"/>
  <c r="A365" i="4"/>
  <c r="A445" i="4"/>
  <c r="A515" i="4"/>
  <c r="A361" i="4"/>
  <c r="A345" i="4"/>
  <c r="A261" i="4"/>
  <c r="F20" i="3"/>
  <c r="A165" i="4"/>
  <c r="A245" i="4"/>
  <c r="A325" i="4"/>
  <c r="A405" i="4"/>
  <c r="A321" i="4"/>
  <c r="A401" i="4"/>
  <c r="A157" i="4"/>
  <c r="A237" i="4"/>
  <c r="A317" i="4"/>
  <c r="A397" i="4"/>
  <c r="A491" i="4"/>
  <c r="A153" i="4"/>
  <c r="A233" i="4"/>
  <c r="A313" i="4"/>
  <c r="A393" i="4"/>
  <c r="A473" i="4"/>
  <c r="F21" i="3" l="1"/>
  <c r="D22" i="3"/>
  <c r="G22" i="3" s="1"/>
  <c r="L23" i="3"/>
  <c r="F9" i="3"/>
  <c r="E23" i="3"/>
  <c r="F14" i="3"/>
  <c r="M23" i="3"/>
  <c r="D14" i="3"/>
  <c r="G14" i="3" s="1"/>
  <c r="F23" i="3" l="1"/>
  <c r="D23" i="3"/>
  <c r="G23" i="3" s="1"/>
</calcChain>
</file>

<file path=xl/sharedStrings.xml><?xml version="1.0" encoding="utf-8"?>
<sst xmlns="http://schemas.openxmlformats.org/spreadsheetml/2006/main" count="7025" uniqueCount="1377">
  <si>
    <r>
      <rPr>
        <sz val="10"/>
        <color rgb="FF000000"/>
        <rFont val="Calibri"/>
        <family val="2"/>
      </rPr>
      <t>设计通过</t>
    </r>
  </si>
  <si>
    <r>
      <rPr>
        <sz val="10"/>
        <color rgb="FF000000"/>
        <rFont val="Calibri"/>
        <family val="2"/>
      </rPr>
      <t>设计评审计划</t>
    </r>
  </si>
  <si>
    <r>
      <rPr>
        <b/>
        <sz val="18"/>
        <color rgb="FF000000"/>
        <rFont val="Calibri"/>
        <family val="2"/>
      </rPr>
      <t>* Cowin MES(OIC) Function List (Scope</t>
    </r>
    <r>
      <rPr>
        <b/>
        <sz val="18"/>
        <color rgb="FF000000"/>
        <rFont val="Calibri"/>
        <family val="2"/>
      </rPr>
      <t xml:space="preserve">定义) </t>
    </r>
  </si>
  <si>
    <r>
      <rPr>
        <sz val="10"/>
        <color rgb="FF000000"/>
        <rFont val="Calibri"/>
        <family val="2"/>
      </rPr>
      <t>评审人员</t>
    </r>
  </si>
  <si>
    <r>
      <rPr>
        <b/>
        <sz val="12"/>
        <color rgb="FF000000"/>
        <rFont val="Calibri"/>
        <family val="2"/>
      </rPr>
      <t>设计</t>
    </r>
    <r>
      <rPr>
        <sz val="12"/>
        <color rgb="FF000000"/>
        <rFont val="Calibri"/>
        <family val="2"/>
      </rPr>
      <t>中</t>
    </r>
  </si>
  <si>
    <r>
      <rPr>
        <b/>
        <sz val="12"/>
        <color rgb="FF000000"/>
        <rFont val="Calibri"/>
        <family val="2"/>
      </rPr>
      <t>开发</t>
    </r>
    <r>
      <rPr>
        <sz val="12"/>
        <color rgb="FF000000"/>
        <rFont val="Calibri"/>
        <family val="2"/>
      </rPr>
      <t>中</t>
    </r>
  </si>
  <si>
    <r>
      <rPr>
        <b/>
        <sz val="12"/>
        <color rgb="FF000000"/>
        <rFont val="Calibri"/>
        <family val="2"/>
      </rPr>
      <t>待确</t>
    </r>
    <r>
      <rPr>
        <sz val="12"/>
        <color rgb="FF000000"/>
        <rFont val="Calibri"/>
        <family val="2"/>
      </rPr>
      <t>认</t>
    </r>
  </si>
  <si>
    <r>
      <rPr>
        <b/>
        <sz val="12"/>
        <color rgb="FF000000"/>
        <rFont val="Calibri"/>
        <family val="2"/>
      </rPr>
      <t>测试</t>
    </r>
    <r>
      <rPr>
        <sz val="12"/>
        <color rgb="FF000000"/>
        <rFont val="Calibri"/>
        <family val="2"/>
      </rPr>
      <t>中</t>
    </r>
  </si>
  <si>
    <r>
      <rPr>
        <b/>
        <sz val="12"/>
        <color rgb="FF000000"/>
        <rFont val="Calibri"/>
        <family val="2"/>
      </rPr>
      <t>未推</t>
    </r>
    <r>
      <rPr>
        <sz val="12"/>
        <color rgb="FF000000"/>
        <rFont val="Calibri"/>
        <family val="2"/>
      </rPr>
      <t>进</t>
    </r>
  </si>
  <si>
    <r>
      <rPr>
        <b/>
        <sz val="18"/>
        <color rgb="FF000000"/>
        <rFont val="Calibri"/>
        <family val="2"/>
      </rPr>
      <t>* cvMES Function List R&amp;D Status(</t>
    </r>
    <r>
      <rPr>
        <sz val="18"/>
        <color rgb="FF000000"/>
        <rFont val="Calibri"/>
        <family val="2"/>
      </rPr>
      <t>对比</t>
    </r>
    <r>
      <rPr>
        <sz val="18"/>
        <color rgb="FF000000"/>
        <rFont val="Calibri"/>
        <family val="2"/>
      </rPr>
      <t xml:space="preserve"> 300Works Basic Function)</t>
    </r>
  </si>
  <si>
    <r>
      <rPr>
        <sz val="12"/>
        <color rgb="FF000000"/>
        <rFont val="Calibri"/>
        <family val="2"/>
      </rPr>
      <t>杨</t>
    </r>
    <r>
      <rPr>
        <sz val="12"/>
        <color rgb="FF000000"/>
        <rFont val="Calibri"/>
        <family val="2"/>
      </rPr>
      <t>金杰</t>
    </r>
  </si>
  <si>
    <r>
      <rPr>
        <sz val="12"/>
        <color rgb="FF000000"/>
        <rFont val="Calibri"/>
        <family val="2"/>
      </rPr>
      <t>鲁绍</t>
    </r>
    <r>
      <rPr>
        <sz val="12"/>
        <color rgb="FF000000"/>
        <rFont val="Calibri"/>
        <family val="2"/>
      </rPr>
      <t>根</t>
    </r>
  </si>
  <si>
    <r>
      <rPr>
        <sz val="12"/>
        <color rgb="FF000000"/>
        <rFont val="Calibri"/>
        <family val="2"/>
      </rPr>
      <t>界面</t>
    </r>
    <r>
      <rPr>
        <sz val="12"/>
        <color rgb="FF000000"/>
        <rFont val="Calibri"/>
        <family val="2"/>
      </rPr>
      <t>说</t>
    </r>
    <r>
      <rPr>
        <sz val="12"/>
        <color rgb="FF000000"/>
        <rFont val="Calibri"/>
        <family val="2"/>
      </rPr>
      <t>明</t>
    </r>
  </si>
  <si>
    <r>
      <rPr>
        <sz val="12"/>
        <color rgb="FF000000"/>
        <rFont val="Calibri"/>
        <family val="2"/>
      </rPr>
      <t>责</t>
    </r>
    <r>
      <rPr>
        <sz val="12"/>
        <color rgb="FF000000"/>
        <rFont val="Calibri"/>
        <family val="2"/>
      </rPr>
      <t>任人</t>
    </r>
  </si>
  <si>
    <r>
      <rPr>
        <sz val="12"/>
        <color rgb="FF000000"/>
        <rFont val="Calibri"/>
        <family val="2"/>
      </rPr>
      <t>开发</t>
    </r>
    <r>
      <rPr>
        <sz val="12"/>
        <color rgb="FF000000"/>
        <rFont val="Calibri"/>
        <family val="2"/>
      </rPr>
      <t>人</t>
    </r>
  </si>
  <si>
    <r>
      <rPr>
        <sz val="12"/>
        <color rgb="FF000000"/>
        <rFont val="Calibri"/>
        <family val="2"/>
      </rPr>
      <t>模</t>
    </r>
    <r>
      <rPr>
        <sz val="12"/>
        <color rgb="FF000000"/>
        <rFont val="Calibri"/>
        <family val="2"/>
      </rPr>
      <t>块</t>
    </r>
  </si>
  <si>
    <r>
      <rPr>
        <sz val="12"/>
        <color rgb="FF000000"/>
        <rFont val="Calibri"/>
        <family val="2"/>
      </rPr>
      <t>功能确</t>
    </r>
    <r>
      <rPr>
        <sz val="12"/>
        <color rgb="FF000000"/>
        <rFont val="Calibri"/>
        <family val="2"/>
      </rPr>
      <t>认</t>
    </r>
  </si>
  <si>
    <t>Phase1: Now~2022/12/31</t>
  </si>
  <si>
    <t>Phase2: 2023/1/1~2023/3/31</t>
  </si>
  <si>
    <t>Level 1</t>
  </si>
  <si>
    <t>Level 2</t>
  </si>
  <si>
    <t>NO</t>
  </si>
  <si>
    <t>Level 3</t>
  </si>
  <si>
    <t>模块</t>
  </si>
  <si>
    <t>重点关注</t>
  </si>
  <si>
    <t>功能确定</t>
  </si>
  <si>
    <t>Phase</t>
  </si>
  <si>
    <t>参考系统</t>
  </si>
  <si>
    <t>参考UI</t>
  </si>
  <si>
    <t>有无</t>
  </si>
  <si>
    <t>接口</t>
  </si>
  <si>
    <t>界面说明</t>
  </si>
  <si>
    <t>功能构建</t>
  </si>
  <si>
    <t>第一轮</t>
  </si>
  <si>
    <t>第二轮</t>
  </si>
  <si>
    <t>代码检查</t>
  </si>
  <si>
    <t>ERP</t>
  </si>
  <si>
    <t>EAP</t>
  </si>
  <si>
    <t>MCS</t>
  </si>
  <si>
    <t>RTD</t>
  </si>
  <si>
    <t>RMS</t>
  </si>
  <si>
    <t>FDC</t>
  </si>
  <si>
    <t>R2R</t>
  </si>
  <si>
    <t>Fab</t>
  </si>
  <si>
    <t>责任人</t>
  </si>
  <si>
    <t>开发人</t>
  </si>
  <si>
    <t>开发地</t>
  </si>
  <si>
    <t>完成</t>
  </si>
  <si>
    <t>Plan</t>
  </si>
  <si>
    <t>Act</t>
  </si>
  <si>
    <t>测试完成</t>
  </si>
  <si>
    <t>改善完成</t>
  </si>
  <si>
    <t>测试通过</t>
  </si>
  <si>
    <t xml:space="preserve"> 开发改善 Day</t>
  </si>
  <si>
    <t>PlanStart</t>
  </si>
  <si>
    <t>PlanEnd</t>
  </si>
  <si>
    <t>ActDays</t>
  </si>
  <si>
    <t>ActStart</t>
  </si>
  <si>
    <t>ActEnd</t>
  </si>
  <si>
    <t>开发者</t>
  </si>
  <si>
    <t>检查人</t>
  </si>
  <si>
    <t>检修计划</t>
  </si>
  <si>
    <t>Main</t>
  </si>
  <si>
    <t>Main WIP（View Lot）</t>
  </si>
  <si>
    <t>确定</t>
  </si>
  <si>
    <t>Phase1</t>
  </si>
  <si>
    <t>AMAT</t>
  </si>
  <si>
    <t>主页</t>
  </si>
  <si>
    <t>有</t>
  </si>
  <si>
    <t>非 PHOTO, Sorter 机台的 Machine , Lot 监控及操作</t>
  </si>
  <si>
    <t>申克楠</t>
  </si>
  <si>
    <t>常刘勺</t>
  </si>
  <si>
    <t>苏州</t>
  </si>
  <si>
    <t>Carrier Mgt</t>
  </si>
  <si>
    <t>Add Carrier Comment</t>
  </si>
  <si>
    <t>Carrier</t>
  </si>
  <si>
    <t>非重点</t>
  </si>
  <si>
    <t>无</t>
  </si>
  <si>
    <t>添加Carrier Comment</t>
  </si>
  <si>
    <t>杨金杰</t>
  </si>
  <si>
    <t>郭天娇</t>
  </si>
  <si>
    <t>无锡</t>
  </si>
  <si>
    <t>Cancel Clean</t>
  </si>
  <si>
    <t>重点</t>
  </si>
  <si>
    <t>Cancel Set Clean,Cancel Start Clean</t>
  </si>
  <si>
    <t>Cancel Inspection</t>
  </si>
  <si>
    <t>Cacel Set Inspetion</t>
  </si>
  <si>
    <t>Carrier Data Collection</t>
  </si>
  <si>
    <t>李彬</t>
  </si>
  <si>
    <t>Disposal/Undo Disposal</t>
  </si>
  <si>
    <t>次重点</t>
  </si>
  <si>
    <t>Set Disposal之后的 处置,和Cancel 处置Carrier的动作</t>
  </si>
  <si>
    <t>Inspection Flow Control</t>
  </si>
  <si>
    <t>Start/End Inspection</t>
  </si>
  <si>
    <t>开始Carrier 量测，结束Carrier量测</t>
  </si>
  <si>
    <t>Repair FOUP</t>
  </si>
  <si>
    <t>修理FOUP</t>
  </si>
  <si>
    <t>Reserve Target Carrier</t>
  </si>
  <si>
    <t>预约Carrier,防止其他用途使用</t>
  </si>
  <si>
    <t>Set Disposal/Cancel Disposal</t>
  </si>
  <si>
    <t>Repair/Scrap之前的设定处置,和Cancel 设定 处置Carrier的动作</t>
  </si>
  <si>
    <t>Set Clean</t>
  </si>
  <si>
    <t>设定Clean</t>
  </si>
  <si>
    <t>Set Inspection</t>
  </si>
  <si>
    <t>设定Carrier Inspecton</t>
  </si>
  <si>
    <t>Special Transfer Lot</t>
  </si>
  <si>
    <t>特殊Transfer Lot处理</t>
  </si>
  <si>
    <t>Start/End Clean</t>
  </si>
  <si>
    <t>开始Carrier Clean,结束Carrier Clean</t>
  </si>
  <si>
    <t>Update Carrier Component</t>
  </si>
  <si>
    <t>更新Carrier组件(?)</t>
  </si>
  <si>
    <t>View Carrier Info</t>
  </si>
  <si>
    <t>View Carrier Cleaning History</t>
  </si>
  <si>
    <t>查询Carrier Cleaning 历史记录</t>
  </si>
  <si>
    <t>View Carrier Cycle</t>
  </si>
  <si>
    <t>查询Carrie Cycle现况</t>
  </si>
  <si>
    <t>Eqp Mgt</t>
  </si>
  <si>
    <t>Buffer Tool Physical Foup Maintain</t>
  </si>
  <si>
    <t>Machine</t>
  </si>
  <si>
    <t>管理Buffer的FOUP</t>
  </si>
  <si>
    <t>王哲</t>
  </si>
  <si>
    <t>One Key Touch</t>
  </si>
  <si>
    <t>Control Action History</t>
  </si>
  <si>
    <t>Customize EQP Information</t>
  </si>
  <si>
    <t>Delete Chamber Current Lots</t>
  </si>
  <si>
    <t>删除掉chamber的Current Lot</t>
  </si>
  <si>
    <t>Equipment Couple Port</t>
  </si>
  <si>
    <t>Machine Couple Port</t>
  </si>
  <si>
    <t>EQP Manual Process Configuration</t>
  </si>
  <si>
    <t>MFG Eqp Security Control Maintenance</t>
  </si>
  <si>
    <t>Modify Equipment Attribute</t>
  </si>
  <si>
    <t>Modify机台属性</t>
  </si>
  <si>
    <t>Modify Eqp Chamber Run Count</t>
  </si>
  <si>
    <t>Modify Chamber进行中的Lot</t>
  </si>
  <si>
    <t>Modify Equipment Current Lots</t>
  </si>
  <si>
    <t>Modify机台进行中的Lot</t>
  </si>
  <si>
    <t>Set Equipment Capability</t>
  </si>
  <si>
    <t>设定机台的Capability</t>
  </si>
  <si>
    <t>One Key Touch Detail History</t>
  </si>
  <si>
    <t>Power Source Setup</t>
  </si>
  <si>
    <t>Power Source Setup History</t>
  </si>
  <si>
    <t>Reticle Equipment Process History</t>
  </si>
  <si>
    <t>Reticle Process机台的历史记录</t>
  </si>
  <si>
    <t>Set Chamber Capability</t>
  </si>
  <si>
    <t>设定Chamber的Capability</t>
  </si>
  <si>
    <t>Tank Control</t>
  </si>
  <si>
    <t>Tank Count Info</t>
  </si>
  <si>
    <t>Phase2</t>
  </si>
  <si>
    <t>Tank OOS History</t>
  </si>
  <si>
    <t>Tank Running History</t>
  </si>
  <si>
    <t>Tool Recovery Control System</t>
  </si>
  <si>
    <t>Tool Recovery Package Setup</t>
  </si>
  <si>
    <t>Wet Tank Control</t>
  </si>
  <si>
    <t>PMS</t>
  </si>
  <si>
    <t>Arrange PM</t>
  </si>
  <si>
    <t>Conditional PM</t>
  </si>
  <si>
    <t>Trigger Readings</t>
  </si>
  <si>
    <t>Usage Meter</t>
  </si>
  <si>
    <t>Lot Mgt</t>
  </si>
  <si>
    <t>Reassign</t>
  </si>
  <si>
    <t>Change Sales Order</t>
  </si>
  <si>
    <t>Lot</t>
  </si>
  <si>
    <t>未确定</t>
  </si>
  <si>
    <t>罗涛</t>
  </si>
  <si>
    <t>FeedForward Attribute</t>
  </si>
  <si>
    <t>Copy FeedForward Information</t>
  </si>
  <si>
    <t>拷贝FeedForward信息</t>
  </si>
  <si>
    <t>袁浩</t>
  </si>
  <si>
    <t>Delete FeedForward Information</t>
  </si>
  <si>
    <t>删除FeedForward信息</t>
  </si>
  <si>
    <t>Modify Lot Attribute For QE</t>
  </si>
  <si>
    <t>Lot Specialization</t>
  </si>
  <si>
    <t>Lot到达指定的站点后使用该配置的新值（EQP, PPID, EDCPlan, Reticle ID, Recipe ID）</t>
  </si>
  <si>
    <t>Modify FeedForward Information</t>
  </si>
  <si>
    <t>修改FeedForward信息</t>
  </si>
  <si>
    <t>Modify Potential Attribute</t>
  </si>
  <si>
    <t>Maintain RMS Flag</t>
  </si>
  <si>
    <t>Set Stepper</t>
  </si>
  <si>
    <t xml:space="preserve">为Litho站点修改stepper </t>
  </si>
  <si>
    <t>Undo Finish</t>
  </si>
  <si>
    <t>将finished lot reassign到指定站点</t>
  </si>
  <si>
    <t>Choose Alter Step</t>
  </si>
  <si>
    <t>MixRun</t>
  </si>
  <si>
    <t>View Mix Run Status</t>
  </si>
  <si>
    <t>Auto YE Review Wafer Selection Config</t>
  </si>
  <si>
    <t>Wafer Selection History For Auto YE Review</t>
  </si>
  <si>
    <t>Wafer Selection</t>
  </si>
  <si>
    <t>Update Wafer List Of YE Review</t>
  </si>
  <si>
    <t>Setting By Capability</t>
  </si>
  <si>
    <t>Setting By Product</t>
  </si>
  <si>
    <t>Wafer Randomization</t>
  </si>
  <si>
    <t>Adhoc Recover</t>
  </si>
  <si>
    <t>Reposition</t>
  </si>
  <si>
    <t>Back Up Step</t>
  </si>
  <si>
    <t>返回上一站</t>
  </si>
  <si>
    <t>Config Random Recipe</t>
  </si>
  <si>
    <t>Lot Random History</t>
  </si>
  <si>
    <t>Doma Management</t>
  </si>
  <si>
    <t>Doma Path Config History</t>
  </si>
  <si>
    <t>Doma Path Maintain</t>
  </si>
  <si>
    <t>Doma Path Setting</t>
  </si>
  <si>
    <t>DOMA RCD History</t>
  </si>
  <si>
    <t>Future</t>
  </si>
  <si>
    <t>Future Hold By Customer</t>
  </si>
  <si>
    <t>适应客户定制的reason code设置future hold</t>
  </si>
  <si>
    <t>Set Future Hold Step Group</t>
  </si>
  <si>
    <t>SML</t>
  </si>
  <si>
    <t>Inline Split For Special Lot</t>
  </si>
  <si>
    <t>Lot Doma History</t>
  </si>
  <si>
    <t>NPW Reposition</t>
  </si>
  <si>
    <t>NPW 的reposition</t>
  </si>
  <si>
    <t>Production Reposition</t>
  </si>
  <si>
    <t>Simple Lot Transfer</t>
  </si>
  <si>
    <t>Cancel Transfer Lot</t>
  </si>
  <si>
    <t>取消Transfer lot</t>
  </si>
  <si>
    <t>王华强</t>
  </si>
  <si>
    <t>Simple Carrier Transfer</t>
  </si>
  <si>
    <t>Receive Transfer Carrier</t>
  </si>
  <si>
    <t>传送 carrier</t>
  </si>
  <si>
    <t>Simple Transfer Carrier</t>
  </si>
  <si>
    <t>接受carrier</t>
  </si>
  <si>
    <t>Receive Plan</t>
  </si>
  <si>
    <t>Unprocessed DOMA Path View</t>
  </si>
  <si>
    <t>YE Review Spec Configuration</t>
  </si>
  <si>
    <t>YE Review Special Reposition</t>
  </si>
  <si>
    <t>YE Select Wafers For Remeasure</t>
  </si>
  <si>
    <t>Mix Run</t>
  </si>
  <si>
    <t>Pilot</t>
  </si>
  <si>
    <t>Pilot Full Auto Information Setting</t>
  </si>
  <si>
    <t>Create Adhoc Pilot</t>
  </si>
  <si>
    <t>Q'Time Control</t>
  </si>
  <si>
    <t>Cancel Q'Time Reservation</t>
  </si>
  <si>
    <t>删除Lot 已经触发的Q-Time</t>
  </si>
  <si>
    <t>王蓬皓</t>
  </si>
  <si>
    <t>Turn Off Q'Time Speed Up</t>
  </si>
  <si>
    <t>关闭 Q-Time 的Speed Up 开关</t>
  </si>
  <si>
    <t>Wafer Slot History</t>
  </si>
  <si>
    <t>童海潮</t>
  </si>
  <si>
    <t>Lot Inventory</t>
  </si>
  <si>
    <t>Inventory</t>
  </si>
  <si>
    <t>Check Cust Maintain</t>
  </si>
  <si>
    <t>设置lot auto hold的规则</t>
  </si>
  <si>
    <t>Continue</t>
  </si>
  <si>
    <t>move to location的逆操作</t>
  </si>
  <si>
    <t>Move To Location</t>
  </si>
  <si>
    <t>将zero layer flow结束的lot，从finished bank移动到start bank</t>
  </si>
  <si>
    <t>WIP Tracking</t>
  </si>
  <si>
    <t>Create Glass Lot</t>
  </si>
  <si>
    <t>WIP</t>
  </si>
  <si>
    <t>N2Purge</t>
  </si>
  <si>
    <t>Cancel N2Purge</t>
  </si>
  <si>
    <t>End N2Purge</t>
  </si>
  <si>
    <t>Load Port N2 Purge Flag Maintain</t>
  </si>
  <si>
    <t>Start N2Purge</t>
  </si>
  <si>
    <t>Run Card</t>
  </si>
  <si>
    <t>Get RunCard Information</t>
  </si>
  <si>
    <t>获得RunCard 信息</t>
  </si>
  <si>
    <t>陈永伟</t>
  </si>
  <si>
    <t>秦亮</t>
  </si>
  <si>
    <t>未完成</t>
  </si>
  <si>
    <t>修改</t>
  </si>
  <si>
    <t>Merge RunCard Lot</t>
  </si>
  <si>
    <t>RunCard Lot merge</t>
  </si>
  <si>
    <t>新增</t>
  </si>
  <si>
    <t>PPID Control</t>
  </si>
  <si>
    <t>Edit PPID Comment</t>
  </si>
  <si>
    <t>Bonding</t>
  </si>
  <si>
    <t>Bonding Lot History</t>
  </si>
  <si>
    <t>Bonded Lot</t>
  </si>
  <si>
    <t>Bonding Lot Skip</t>
  </si>
  <si>
    <t>Bonding Lot Type Mapping</t>
  </si>
  <si>
    <t>Bonding Product Mapping</t>
  </si>
  <si>
    <t>Bonding Step Mapping</t>
  </si>
  <si>
    <t>Glass Lot Information</t>
  </si>
  <si>
    <t>Pair Port Setting</t>
  </si>
  <si>
    <t>Pre Bonding</t>
  </si>
  <si>
    <t>Lot Queue Adjustment</t>
  </si>
  <si>
    <t>After do Lot Queue Reservation , the
confirmed lot will be move into Queue , and
user can use Lot queue Adjustment function
to adjust the sequence.</t>
  </si>
  <si>
    <t>Lot Queue Reservation</t>
  </si>
  <si>
    <t>When EQP auto mode is Auto 2 , user need
do lot queue reservation first.
Otherwise system cannot get lot list in Job
Prep UI</t>
  </si>
  <si>
    <t>Query FOUP-Lot Reservation</t>
  </si>
  <si>
    <t>WaferSelectionRule</t>
  </si>
  <si>
    <t>Setting By EDC Plan</t>
  </si>
  <si>
    <t>根据EDC Plan 配置ChamberCoverage 选片规则</t>
  </si>
  <si>
    <t>申克楠/李彬</t>
  </si>
  <si>
    <t>Setting By EQP</t>
  </si>
  <si>
    <t>EQP Capability / EQP 别设置 WaferSelectionRule</t>
  </si>
  <si>
    <t>Setup Runtime Eqp State</t>
  </si>
  <si>
    <t>R2R Modeling Configuration</t>
  </si>
  <si>
    <t>Sorter Capability Set By Carrier Type</t>
  </si>
  <si>
    <t>Sorter Capability Set By Wafer Kind</t>
  </si>
  <si>
    <t>Data Collection</t>
  </si>
  <si>
    <t>Adhoc Data Collection</t>
  </si>
  <si>
    <t>Cancel ReSend To Spc</t>
  </si>
  <si>
    <t>Non-Lot Data Collection</t>
  </si>
  <si>
    <t>ReSend To Spc</t>
  </si>
  <si>
    <t>YE SpecID Bincode Map</t>
  </si>
  <si>
    <t>YE SpecID Bincode Map History</t>
  </si>
  <si>
    <t>View Non Lot Dcoll Info</t>
  </si>
  <si>
    <t>CSN</t>
  </si>
  <si>
    <t>Constraint</t>
  </si>
  <si>
    <t>Mfg Dispatch</t>
  </si>
  <si>
    <t>Parts Life Time Control</t>
  </si>
  <si>
    <t>CSN PPID Constraint</t>
  </si>
  <si>
    <t>Restrict Duration Recipe</t>
  </si>
  <si>
    <t>Test Wafer</t>
  </si>
  <si>
    <t>NPW Grade</t>
  </si>
  <si>
    <t>Downgrade Wafer Quantity Limit</t>
  </si>
  <si>
    <t>Cancel Dummy In</t>
  </si>
  <si>
    <t>Cancel Reserve Dummy</t>
  </si>
  <si>
    <t>Configure Wafer Stock Level</t>
  </si>
  <si>
    <t>Query Monitor Lot</t>
  </si>
  <si>
    <t>查询Monitor Lot信息</t>
  </si>
  <si>
    <t>高毓</t>
  </si>
  <si>
    <t>Reclaim End</t>
  </si>
  <si>
    <t>NPW Lot重新进行Recycle</t>
  </si>
  <si>
    <t>Re_Create Monitor Lot</t>
  </si>
  <si>
    <t>Pre Measure Fail后重新创建Monitor Lot</t>
  </si>
  <si>
    <t>Reserve Dummy</t>
  </si>
  <si>
    <t>OCAP</t>
  </si>
  <si>
    <t>Complete Double Confirm</t>
  </si>
  <si>
    <t>PCMS</t>
  </si>
  <si>
    <t>Activity</t>
  </si>
  <si>
    <t>Change Location</t>
  </si>
  <si>
    <t>Complete Use for RunCard</t>
  </si>
  <si>
    <t>EE Hold Card</t>
  </si>
  <si>
    <t>EE Validation</t>
  </si>
  <si>
    <t>Configuration</t>
  </si>
  <si>
    <t>Equipment Capability With Probe Card Group</t>
  </si>
  <si>
    <t>Lend Out</t>
  </si>
  <si>
    <t>MFG Receive</t>
  </si>
  <si>
    <t>Run Time</t>
  </si>
  <si>
    <t>Mounting Of Probe Card</t>
  </si>
  <si>
    <t>Probe Card Group Maintenance</t>
  </si>
  <si>
    <t>Probe Card Maintenance</t>
  </si>
  <si>
    <t>PE Hold Card</t>
  </si>
  <si>
    <t>PE Validation</t>
  </si>
  <si>
    <t>Probe Card History</t>
  </si>
  <si>
    <t>Release To MFG</t>
  </si>
  <si>
    <t>RCP Probe Card Group Mapping</t>
  </si>
  <si>
    <t>Release for RunCard</t>
  </si>
  <si>
    <t>Remove From Inventory</t>
  </si>
  <si>
    <t>Return From Repair</t>
  </si>
  <si>
    <t>Return To Inventory</t>
  </si>
  <si>
    <t>Return To PE</t>
  </si>
  <si>
    <t>Scrap</t>
  </si>
  <si>
    <t>Location Maintenance</t>
  </si>
  <si>
    <t>UnMounting Of Probe Card</t>
  </si>
  <si>
    <t>UnScrap</t>
  </si>
  <si>
    <t>Send To Vendor Repair</t>
  </si>
  <si>
    <t>PRMS</t>
  </si>
  <si>
    <t>MainGUI</t>
  </si>
  <si>
    <t>Manage Resist Equipment Alarm</t>
  </si>
  <si>
    <t>PR Batch Assignment And Qualification</t>
  </si>
  <si>
    <t>Photo Resist Consumable Events</t>
  </si>
  <si>
    <t>Photo Resist Equipment Maintenance</t>
  </si>
  <si>
    <t>Photo Resist History</t>
  </si>
  <si>
    <t>Photo Resist Location Maintenance</t>
  </si>
  <si>
    <t>Photo Resist Part Maintenance</t>
  </si>
  <si>
    <t>PR Recipe</t>
  </si>
  <si>
    <t>PR Recipe History</t>
  </si>
  <si>
    <t>Resist Consumables</t>
  </si>
  <si>
    <t>PTMS</t>
  </si>
  <si>
    <t>Create Part</t>
  </si>
  <si>
    <t>Batch Create Part</t>
  </si>
  <si>
    <t>Part Main GUI</t>
  </si>
  <si>
    <t>Batch Create Part Master</t>
  </si>
  <si>
    <t>Cost Center</t>
  </si>
  <si>
    <t>Part Group Maintain</t>
  </si>
  <si>
    <t>Modify Part Group Relationship</t>
  </si>
  <si>
    <t>Part Cycle Limit</t>
  </si>
  <si>
    <t>Part Main Screen View</t>
  </si>
  <si>
    <t>Part Master MainGUI</t>
  </si>
  <si>
    <t>Replace Parts</t>
  </si>
  <si>
    <t>Query Part Group Relationship</t>
  </si>
  <si>
    <t>Maintain Mark Lot</t>
  </si>
  <si>
    <t>Reticle</t>
  </si>
  <si>
    <t>Maintain</t>
  </si>
  <si>
    <t>Batch Reticle Properties</t>
  </si>
  <si>
    <t>同时变更多块Reticle属性</t>
  </si>
  <si>
    <t>Batch IRIS Wafer Count</t>
  </si>
  <si>
    <t>同时变更多块Reticle IRIS 的Wafer Count</t>
  </si>
  <si>
    <t>Batch IRIS Wafer Count Import And Export</t>
  </si>
  <si>
    <t>同时导出输入多块Reticle IRIS的 Wafer Count</t>
  </si>
  <si>
    <t>Batch Pod Properties</t>
  </si>
  <si>
    <t>同时变更多个Pod 属性</t>
  </si>
  <si>
    <t>Batch Starlight</t>
  </si>
  <si>
    <t>同时变更多块Reticle的Starlight</t>
  </si>
  <si>
    <t>Batch Wafer Count</t>
  </si>
  <si>
    <t>同时变更多块Reticle进行的Wafer Count</t>
  </si>
  <si>
    <t>Batch XCDA Qtime</t>
  </si>
  <si>
    <t>同时变更多块Reticle的XCDA Qtime</t>
  </si>
  <si>
    <t>Batch XCDA Qtime Import And Export</t>
  </si>
  <si>
    <t>同时导出输入多块Reticle的XCDA Qtime</t>
  </si>
  <si>
    <t>Reticle Activity</t>
  </si>
  <si>
    <t>变更更Reticle Location</t>
  </si>
  <si>
    <t>Compatible Condition</t>
  </si>
  <si>
    <t>Pod,Retcile Match Conditiron设定</t>
  </si>
  <si>
    <t>Reticle Data Collection</t>
  </si>
  <si>
    <t>Create And Delete</t>
  </si>
  <si>
    <t>Delete Reticle</t>
  </si>
  <si>
    <t>Delete 已经Create的Reticle</t>
  </si>
  <si>
    <t>Inspection In</t>
  </si>
  <si>
    <t>开始Inspeticon</t>
  </si>
  <si>
    <t>Inspection Out</t>
  </si>
  <si>
    <t>Inspection结束</t>
  </si>
  <si>
    <t>IRIS Wafer Count</t>
  </si>
  <si>
    <t>变更IRIS的Wafer Count</t>
  </si>
  <si>
    <t>Load Reticle</t>
  </si>
  <si>
    <t>EAP未适用时，Load Reticle到机台</t>
  </si>
  <si>
    <t>Maintain Equipment Type</t>
  </si>
  <si>
    <t>变更Reticle的属性（Reticle Spec),涉及Reticle的各种Limit值</t>
  </si>
  <si>
    <t>Maintain Reticle Location</t>
  </si>
  <si>
    <t>变更Reticle 的Locaiton属性</t>
  </si>
  <si>
    <t>Maintain Reticle LocationType</t>
  </si>
  <si>
    <t>变更Reticle的 Locaiton Type</t>
  </si>
  <si>
    <t>Maintain Reticle Grade</t>
  </si>
  <si>
    <t>变更Reticle Grade与IRIS DC等相关联</t>
  </si>
  <si>
    <t>Mask Clean</t>
  </si>
  <si>
    <t>设定Reticle Clean</t>
  </si>
  <si>
    <t>Modify Attribute</t>
  </si>
  <si>
    <t>Offline Retrieve Reticle</t>
  </si>
  <si>
    <t>Offline接收Reticle</t>
  </si>
  <si>
    <t>Pod Activity</t>
  </si>
  <si>
    <t>Change Pod的Location</t>
  </si>
  <si>
    <t>Confirm Quality</t>
  </si>
  <si>
    <t>Pod Inline时的 Qulity Check</t>
  </si>
  <si>
    <t>Pod Mgt</t>
  </si>
  <si>
    <t>Pod 管理？？</t>
  </si>
  <si>
    <t>Remount And Clean Count</t>
  </si>
  <si>
    <t>变更Reticle Clean Count</t>
  </si>
  <si>
    <t>Request Inspection</t>
  </si>
  <si>
    <t>设置Pod Inspection</t>
  </si>
  <si>
    <t>Reserve POD</t>
  </si>
  <si>
    <t>Cancel Scan</t>
  </si>
  <si>
    <t>Cancel 已经开始Scan的操作</t>
  </si>
  <si>
    <t>Return To Customer</t>
  </si>
  <si>
    <t>退回客户中心</t>
  </si>
  <si>
    <t>Terminate</t>
  </si>
  <si>
    <t>终结Reticle(不再使用）？</t>
  </si>
  <si>
    <t>Unload Reticle</t>
  </si>
  <si>
    <t>EAP未使用时，Unload Reticle的电算操作</t>
  </si>
  <si>
    <t>Batch XCDA Purge Time Remove</t>
  </si>
  <si>
    <t>消除多个Reticle的 XCDA Purge Time</t>
  </si>
  <si>
    <t>Batch XCDA Qtime Remove</t>
  </si>
  <si>
    <t>消除多个Reticle的 XCDA Qtime</t>
  </si>
  <si>
    <t>Sampling</t>
  </si>
  <si>
    <t>Step Sampling</t>
  </si>
  <si>
    <t>Step Sampling 主页，展示 Product Name + Top Plan Name + Subplan Name + StepSeq + Step ID + Capability相关的Sampling信息。不支持ADD/DEL ，只可以修改。新建由Default Sampling导入</t>
  </si>
  <si>
    <t>Default Sampling</t>
  </si>
  <si>
    <t>作为创建Step Sampling 的默认值设置。包含WaferSelection Rule</t>
  </si>
  <si>
    <t>YE Step Sampling</t>
  </si>
  <si>
    <t>YE Step Sampling 主页，创建修改规则。配置属性。</t>
  </si>
  <si>
    <t>Modify Key Lot Flag</t>
  </si>
  <si>
    <t>针对YE Key EQP 解绑Key Lot，系统重新选择其它Key Lot</t>
  </si>
  <si>
    <t>Lot Sampling Runtime History</t>
  </si>
  <si>
    <t>YE or Step Sampling history，需要支持导出Excel功能</t>
  </si>
  <si>
    <t>Smart Sampling Special Flag</t>
  </si>
  <si>
    <t>针对Key EQP 删除/添加 非YE Step Sampling Key Lot</t>
  </si>
  <si>
    <t>Smart Sampling Key Equipment</t>
  </si>
  <si>
    <t>非YE Step Key EQP 设置</t>
  </si>
  <si>
    <t>Smart Sampling Key Step Association</t>
  </si>
  <si>
    <t>Process Step 绑定非YE 量测 Step 关系</t>
  </si>
  <si>
    <t>Sampling History</t>
  </si>
  <si>
    <t>Smart Sampling MFG Skip History</t>
  </si>
  <si>
    <t>Smart Sampling Special Scan modeling history</t>
  </si>
  <si>
    <t>YE Key Equipment</t>
  </si>
  <si>
    <t>YE Step Key EQP 设置</t>
  </si>
  <si>
    <t>YE Key Step Association</t>
  </si>
  <si>
    <t>Process Step 绑定 YE Step 关系</t>
  </si>
  <si>
    <t>YE Step By Flow</t>
  </si>
  <si>
    <t>针对Product ，Plan，选择Step 配置Sampling 规则</t>
  </si>
  <si>
    <t>YE Step By Lot</t>
  </si>
  <si>
    <t>根据lot设置YE Step 的Skip/Scan</t>
  </si>
  <si>
    <t>YE Step Sampling History</t>
  </si>
  <si>
    <t>YE Step Sampling 历史记录</t>
  </si>
  <si>
    <t>Transportation</t>
  </si>
  <si>
    <t>Cancel Reticle Transportation</t>
  </si>
  <si>
    <t>Cancel Transportation</t>
  </si>
  <si>
    <t>MCS Control</t>
  </si>
  <si>
    <t>Reticle Transportation Request</t>
  </si>
  <si>
    <t>Reticle Sync Stocker</t>
  </si>
  <si>
    <t>MCS Inventory Info</t>
  </si>
  <si>
    <t>Sync Reticle Stocker</t>
  </si>
  <si>
    <t>Transportation Reticle Request</t>
  </si>
  <si>
    <t>View Reticle Stocker</t>
  </si>
  <si>
    <t>Sync Carrier Info</t>
  </si>
  <si>
    <t>Transportation Request</t>
  </si>
  <si>
    <t>Transportation Recovery</t>
  </si>
  <si>
    <t>WAT</t>
  </si>
  <si>
    <t>Wafer Test</t>
  </si>
  <si>
    <t>WAT Hold Information</t>
  </si>
  <si>
    <t>WAT Result Information</t>
  </si>
  <si>
    <t>Final InkMap Prod Setting</t>
  </si>
  <si>
    <t>Wafer Test Information</t>
  </si>
  <si>
    <t>Wafer Test Result History</t>
  </si>
  <si>
    <t>WT Product Yield Setting</t>
  </si>
  <si>
    <t>WT Retest Recipe Setting</t>
  </si>
  <si>
    <t>WT Test Step Recipe Configuration</t>
  </si>
  <si>
    <t>Type</t>
  </si>
  <si>
    <t>300Works(Basic)</t>
  </si>
  <si>
    <t>B2 Funcation(Basic)</t>
  </si>
  <si>
    <t>完成率</t>
  </si>
  <si>
    <t>对比300works</t>
  </si>
  <si>
    <t>对比B2</t>
  </si>
  <si>
    <t>Total</t>
  </si>
  <si>
    <t>* Cpwin（MES）Function List</t>
  </si>
  <si>
    <t>Level1</t>
  </si>
  <si>
    <t>Level2</t>
  </si>
  <si>
    <t>No.</t>
  </si>
  <si>
    <t>B2 Funcation</t>
  </si>
  <si>
    <t>cvMES</t>
  </si>
  <si>
    <t>开发阶段</t>
  </si>
  <si>
    <t>交期</t>
  </si>
  <si>
    <t>实绩</t>
  </si>
  <si>
    <t>Remark</t>
  </si>
  <si>
    <t>设计中</t>
  </si>
  <si>
    <t>Assign Carrier</t>
  </si>
  <si>
    <t>Lot&amp;Carrier逻辑 Match</t>
  </si>
  <si>
    <t>Deassign Carrier</t>
  </si>
  <si>
    <t>Lot&amp;Carrier逻辑  Divide</t>
  </si>
  <si>
    <t>待确认</t>
  </si>
  <si>
    <t>未推进</t>
  </si>
  <si>
    <t>Cancel Reserve Target Carrier</t>
  </si>
  <si>
    <t>解绑预约Carrier,其他用途可以使用</t>
  </si>
  <si>
    <t>Update/Modify Carrier Info</t>
  </si>
  <si>
    <t>Change Slotmap Info</t>
  </si>
  <si>
    <t>Change Slot Map Info</t>
  </si>
  <si>
    <t>改变同lot中 wafer slot信息</t>
  </si>
  <si>
    <t>Change Carrier Info</t>
  </si>
  <si>
    <t>Create Carrier</t>
  </si>
  <si>
    <t>单个或多个Carrier创建（包括Foup.FOSB)</t>
  </si>
  <si>
    <t>Exchange Carrier</t>
  </si>
  <si>
    <t>Carrier为基准，Lot逐个传出到新的异种Foup</t>
  </si>
  <si>
    <t>Hold Carrier</t>
  </si>
  <si>
    <t>Modify Carrier Attributes</t>
  </si>
  <si>
    <t>Release Carrier</t>
  </si>
  <si>
    <t>对Hold Carrier进行Release</t>
  </si>
  <si>
    <t>Remove Carrier</t>
  </si>
  <si>
    <t>Scrap Carrier</t>
  </si>
  <si>
    <t>报废Carrier</t>
  </si>
  <si>
    <t>开发中</t>
  </si>
  <si>
    <t>Cancel Scrap Carrier</t>
  </si>
  <si>
    <t>解除报废Carrier</t>
  </si>
  <si>
    <t>Change Carrier Clean State</t>
  </si>
  <si>
    <t>Carrier RFID Management</t>
  </si>
  <si>
    <t>Transfer Lot</t>
  </si>
  <si>
    <t>Lot Base 传到其他同类型Foup</t>
  </si>
  <si>
    <t xml:space="preserve">View Carrier List </t>
  </si>
  <si>
    <t>View Carrier History</t>
  </si>
  <si>
    <t>查询Carrier的Detail 历史记录</t>
  </si>
  <si>
    <t>View Carrier Status</t>
  </si>
  <si>
    <t>查询Carrier 当前状态</t>
  </si>
  <si>
    <t>Equipment AMA Mode Change</t>
  </si>
  <si>
    <t>Change Machine AMA Mode</t>
  </si>
  <si>
    <t>Equipment Port State Change</t>
  </si>
  <si>
    <t>Change Port State</t>
  </si>
  <si>
    <t>Equipment Process History</t>
  </si>
  <si>
    <t>View Machine Process History</t>
  </si>
  <si>
    <t>Equipment State Change</t>
  </si>
  <si>
    <t>Change Machine State</t>
  </si>
  <si>
    <t>更改Machine Up,Down等信息 及Outof Service等信息变更</t>
  </si>
  <si>
    <t>Change Machine Control Mode</t>
  </si>
  <si>
    <t>Equipment Port Access Mode Change</t>
  </si>
  <si>
    <t>Change Port Access Mode</t>
  </si>
  <si>
    <t>2023 1Q</t>
  </si>
  <si>
    <t>View Equipment Auto Mode</t>
  </si>
  <si>
    <t>View Machine Auto Mode</t>
  </si>
  <si>
    <t>Equipment History</t>
  </si>
  <si>
    <t>View Machine History</t>
  </si>
  <si>
    <t>查询Machine 的Detail 历史记录</t>
  </si>
  <si>
    <t>View Equipment Status</t>
  </si>
  <si>
    <t>View Machine Status</t>
  </si>
  <si>
    <t>查询 Machine 的当前状态</t>
  </si>
  <si>
    <t>View Current Alarm</t>
  </si>
  <si>
    <t>根据Lot、Machine、时间等查询Alarm信息</t>
  </si>
  <si>
    <t>AlarmRun</t>
  </si>
  <si>
    <t>View Machine Info</t>
  </si>
  <si>
    <t>Lot Customization</t>
  </si>
  <si>
    <t>Modify Lot Contamination Level</t>
  </si>
  <si>
    <t>修改lot污染等级</t>
  </si>
  <si>
    <t>Add Steps</t>
  </si>
  <si>
    <t>Batch Modify Lot Attribute</t>
  </si>
  <si>
    <t>批量修改lot属性</t>
  </si>
  <si>
    <t>Modify Lot Attribute For MFG</t>
  </si>
  <si>
    <t>修改lot属性for MFG</t>
  </si>
  <si>
    <t>Modify Lot Attribute For QC</t>
  </si>
  <si>
    <t>修改lot属性for QC</t>
  </si>
  <si>
    <t>Modify Lot Attribute</t>
  </si>
  <si>
    <t>修改lot属性</t>
  </si>
  <si>
    <t>Plan Reassign</t>
  </si>
  <si>
    <t>Future Reassign</t>
  </si>
  <si>
    <t>Reassign Lot</t>
  </si>
  <si>
    <t>Reassign Lot to New Product Flow</t>
  </si>
  <si>
    <t>Reassign Lot For Monitor</t>
  </si>
  <si>
    <t>Reassign Lot For NPW</t>
  </si>
  <si>
    <t>View Hold Lot</t>
  </si>
  <si>
    <t>View Hold Lot Info</t>
  </si>
  <si>
    <t>Hold</t>
  </si>
  <si>
    <t>Batch Hold</t>
  </si>
  <si>
    <t>根据 PFO,Capability, Stage 等条件查询 Lot List, 批量锁定</t>
  </si>
  <si>
    <t>Edit Hold Comment</t>
  </si>
  <si>
    <t>Edit Hold</t>
  </si>
  <si>
    <t>更改Hold 信息</t>
  </si>
  <si>
    <t>Hold Lot</t>
  </si>
  <si>
    <t>锁住Lot（Lot Hold State N-&gt;Y），提供 By Lot,Carrier,Batch ID 3种方法</t>
  </si>
  <si>
    <t>Release</t>
  </si>
  <si>
    <t>Release Lot</t>
  </si>
  <si>
    <t>解锁Lot（Lot Hold State Y-&gt;N）</t>
  </si>
  <si>
    <t>Release  Action</t>
  </si>
  <si>
    <t>Batch Release</t>
  </si>
  <si>
    <t>批量解锁Lot（Lot Hold State Y-&gt;N）</t>
  </si>
  <si>
    <t>Add Measurement Step</t>
  </si>
  <si>
    <t>罗涛/李彬</t>
  </si>
  <si>
    <t>Create Pilot</t>
  </si>
  <si>
    <t>Create Pi Lot</t>
  </si>
  <si>
    <t>End Pilot</t>
  </si>
  <si>
    <t>End PiLot</t>
  </si>
  <si>
    <t>Batch Future Hold</t>
  </si>
  <si>
    <t>Cancel Batch Future Hold</t>
  </si>
  <si>
    <t>Future Action List</t>
  </si>
  <si>
    <t>Cancel Future Action</t>
  </si>
  <si>
    <t>Future Hold</t>
  </si>
  <si>
    <t>Set Future Hold</t>
  </si>
  <si>
    <t>Future Merge</t>
  </si>
  <si>
    <t>Set Future Merge</t>
  </si>
  <si>
    <t>Future Split</t>
  </si>
  <si>
    <t>Set Future Split</t>
  </si>
  <si>
    <t>Future Reserve Machine</t>
  </si>
  <si>
    <t>提前设置需要在后续 Step 做的机台</t>
  </si>
  <si>
    <t>Inline Split Setting</t>
  </si>
  <si>
    <t>Sorter</t>
  </si>
  <si>
    <t>View Wafer Verification Result</t>
  </si>
  <si>
    <t>查询 Sorter 读取的Wafer 的T7 Code 结果</t>
  </si>
  <si>
    <t>Wafer Rotate</t>
  </si>
  <si>
    <t>对Carrier中Wafer转角度</t>
  </si>
  <si>
    <t>Wafer Verification</t>
  </si>
  <si>
    <t xml:space="preserve"> Transfer Lot</t>
  </si>
  <si>
    <t>Merge/Split</t>
  </si>
  <si>
    <t>Merge</t>
  </si>
  <si>
    <t>Merge Lot</t>
  </si>
  <si>
    <t>Unscheduled Lot Merge功能，支持多个相同Source lot的lot 分别与母Lot Merge</t>
  </si>
  <si>
    <t>Split</t>
  </si>
  <si>
    <t>Split Lot</t>
  </si>
  <si>
    <t>Lot 分批（Physical Remote/Local,Logical)</t>
  </si>
  <si>
    <t>Rework/Split-Rework</t>
  </si>
  <si>
    <t>Split Rework</t>
  </si>
  <si>
    <t>Cancel Rework</t>
  </si>
  <si>
    <t>取消返工（Rework State：InRework-&gt;NotInRework）</t>
  </si>
  <si>
    <t>Rework</t>
  </si>
  <si>
    <t>计划返工/adhoc 返工（Rework State：NotInRework-&gt;InRework）</t>
  </si>
  <si>
    <t>Reposition Oper</t>
  </si>
  <si>
    <t>Fetch Oper</t>
  </si>
  <si>
    <t>Back Step</t>
  </si>
  <si>
    <t>Reposition Rule</t>
  </si>
  <si>
    <t>Skip Step</t>
  </si>
  <si>
    <t>Special Reposition Step</t>
  </si>
  <si>
    <t>Special Reposition Oper</t>
  </si>
  <si>
    <t>Receive Transfer Back Lot</t>
  </si>
  <si>
    <t>Receive Transfer Lot Back</t>
  </si>
  <si>
    <t>Receive Transfer Lot</t>
  </si>
  <si>
    <t>Simple Transfer Back Lot</t>
  </si>
  <si>
    <t>Simple Transfer Lot Back</t>
  </si>
  <si>
    <t>Simple Transfer Lot</t>
  </si>
  <si>
    <t>Transfer Mapping Configuration</t>
  </si>
  <si>
    <t>Transfer Mapping</t>
  </si>
  <si>
    <t>Transfer Table Map</t>
  </si>
  <si>
    <t>Fab Attribute Mapping Config</t>
  </si>
  <si>
    <t>From/To FAB 属性信息Mapping</t>
  </si>
  <si>
    <t>Fab Attribute Value Mapping</t>
  </si>
  <si>
    <t>From/To FAB 属性的值信息Mapping</t>
  </si>
  <si>
    <t>View Transfer List</t>
  </si>
  <si>
    <t>Scrap/Terminate</t>
  </si>
  <si>
    <t>Scrap Apply</t>
  </si>
  <si>
    <t>报废Lot</t>
  </si>
  <si>
    <t>Cancel Scrap Apply</t>
  </si>
  <si>
    <t>报废申请</t>
  </si>
  <si>
    <t>Special UnTerminate Lot</t>
  </si>
  <si>
    <t>Special Unterminate Lot</t>
  </si>
  <si>
    <t>Terminate Lot</t>
  </si>
  <si>
    <t>Terminate By Foup</t>
  </si>
  <si>
    <t>Terminate Lot By Carrier</t>
  </si>
  <si>
    <t>Terminate Finish Lot</t>
  </si>
  <si>
    <t>UnTerminate Lot</t>
  </si>
  <si>
    <t>Unterminate Lot</t>
  </si>
  <si>
    <t>View Pilot</t>
  </si>
  <si>
    <t>View Pi Lot</t>
  </si>
  <si>
    <t>查看Pi Lot信息</t>
  </si>
  <si>
    <t>Release Hold Pilot</t>
  </si>
  <si>
    <t>On Demand Pilot</t>
  </si>
  <si>
    <t>On Demand Pilot Condition</t>
  </si>
  <si>
    <t>Modeler</t>
  </si>
  <si>
    <t>Pilot Success Condition</t>
  </si>
  <si>
    <t>Pilot Target Condition</t>
  </si>
  <si>
    <t>Stop Pilot</t>
  </si>
  <si>
    <t>Q-Time List</t>
  </si>
  <si>
    <t>Q-Time Control</t>
  </si>
  <si>
    <t>Dedication</t>
  </si>
  <si>
    <t>Full Lot Report</t>
  </si>
  <si>
    <t>View Lot  Info</t>
  </si>
  <si>
    <t>View Lot List</t>
  </si>
  <si>
    <t>按照TPFO别查询Lot List</t>
  </si>
  <si>
    <t>Data Collect Lot History</t>
  </si>
  <si>
    <t>View Lot History</t>
  </si>
  <si>
    <t>Add Comment</t>
  </si>
  <si>
    <t>增加comment</t>
  </si>
  <si>
    <t>T7 Code Query</t>
  </si>
  <si>
    <t>View T7 Code</t>
  </si>
  <si>
    <t>Furnace Batch History</t>
  </si>
  <si>
    <t>View Furnace Batch History</t>
  </si>
  <si>
    <t>View Component Information</t>
  </si>
  <si>
    <t>View Component Info</t>
  </si>
  <si>
    <t>Wafer Chamber Tracking History</t>
  </si>
  <si>
    <t>View Wafer Chamber Tracking History</t>
  </si>
  <si>
    <t>Wafer History</t>
  </si>
  <si>
    <t>View Wafer History</t>
  </si>
  <si>
    <t>Bank In</t>
  </si>
  <si>
    <t>对选择的Lot进行移入Bank的操作(BankState:OnFloor-&gt;InBank)，支持批量操作</t>
  </si>
  <si>
    <t>Bank Out</t>
  </si>
  <si>
    <t>对选择的Lot进行移出Bank的操作(BankState:InBank-&gt;OnFloor)，支持批量操作</t>
  </si>
  <si>
    <t>Batch Bank In</t>
  </si>
  <si>
    <t>Move Bank</t>
  </si>
  <si>
    <t>将Lot在不同Bank之间进行转移</t>
  </si>
  <si>
    <t>Query Bank Info</t>
  </si>
  <si>
    <t>View Bank Info</t>
  </si>
  <si>
    <t>Ship</t>
  </si>
  <si>
    <t>UnShipByWafer</t>
  </si>
  <si>
    <t>Unship</t>
  </si>
  <si>
    <t>RSP Label</t>
  </si>
  <si>
    <t>Lot Card</t>
  </si>
  <si>
    <t>Input Lot  Print and Mapping FOUP ID(Validation条件考虑)</t>
  </si>
  <si>
    <t>Lot Label</t>
  </si>
  <si>
    <t>Reticle Label</t>
  </si>
  <si>
    <t>FOSB Label</t>
  </si>
  <si>
    <t>Product Order</t>
  </si>
  <si>
    <t>Work Order</t>
  </si>
  <si>
    <t>查询 Work Order, 可修改/删除/查询并Complte PM Card</t>
  </si>
  <si>
    <t>View PO/WO History</t>
  </si>
  <si>
    <t>查询 PO/WO 的操作履历</t>
  </si>
  <si>
    <t>Create Production Lot</t>
  </si>
  <si>
    <t>Create Lot</t>
  </si>
  <si>
    <t>Create NPW Lot</t>
  </si>
  <si>
    <t>生成 NPW Lot</t>
  </si>
  <si>
    <t>Create Engineer Lot</t>
  </si>
  <si>
    <t>生成 Engineer Lot</t>
  </si>
  <si>
    <t>View Create Lot List</t>
  </si>
  <si>
    <t>View Transaction Raw Wafer List</t>
  </si>
  <si>
    <t xml:space="preserve"> 查询 ERP Raw Wafer 清单，需要手动 Create(ERP IF 接口没有时</t>
  </si>
  <si>
    <t>Query Raw Material Info</t>
  </si>
  <si>
    <t>View Raw Wafer List</t>
  </si>
  <si>
    <t>查看当前库存，Confirm 时累加，Create Source Vendor Lot时消耗</t>
  </si>
  <si>
    <t>FOSB Generate</t>
  </si>
  <si>
    <t>Create Source Lot</t>
  </si>
  <si>
    <t>Create Source Vendor Lot</t>
  </si>
  <si>
    <t>基于 Raw Wafer 进行 Source Vendor Lot 生成(FOSB 匹配)</t>
  </si>
  <si>
    <t>Query Source Lot Info</t>
  </si>
  <si>
    <t>View Source Lot List</t>
  </si>
  <si>
    <t>FOSB Generate Scan</t>
  </si>
  <si>
    <t>Start Lot Reserve</t>
  </si>
  <si>
    <t>Start Lot</t>
  </si>
  <si>
    <t>将Source Vendor Lot. Lot ID, Carrier ID三者匹配生成Lot/wafer的功能,支持Sort Local</t>
  </si>
  <si>
    <t>Insert T7 Code</t>
  </si>
  <si>
    <t>Start Lot Auto</t>
  </si>
  <si>
    <t>Wafer Start Reserve</t>
  </si>
  <si>
    <t>Start Lot的自动模式，支持Sort Remote + 手动Load读取RFID，Sort自动读取T7 Code 保存</t>
  </si>
  <si>
    <t>View Start Lot</t>
  </si>
  <si>
    <t>Skip Started Lot</t>
  </si>
  <si>
    <t>Confirm Raw Wafers</t>
  </si>
  <si>
    <t>Modify/Cancel Create Lot</t>
  </si>
  <si>
    <t>Change RunCard Status</t>
  </si>
  <si>
    <t>View/Change Run Card State</t>
  </si>
  <si>
    <t>Create Recover RunCard</t>
  </si>
  <si>
    <t>Recover Run Card</t>
  </si>
  <si>
    <t>Create Split Run Card</t>
  </si>
  <si>
    <t>Split Run Card</t>
  </si>
  <si>
    <t>Release Split RunCard</t>
  </si>
  <si>
    <t>Hold/Release LayoutRecipe</t>
  </si>
  <si>
    <t>Hold/Release LayoutRecipe History</t>
  </si>
  <si>
    <t>Hold/Release PPID</t>
  </si>
  <si>
    <t>Hold/Release PPID History</t>
  </si>
  <si>
    <t>PPID Resolution History</t>
  </si>
  <si>
    <t>Release PPID Constraint</t>
  </si>
  <si>
    <t>Release PPID Constraint History</t>
  </si>
  <si>
    <t>Machine Recipe Management</t>
  </si>
  <si>
    <t>Machine Recipe Management History</t>
  </si>
  <si>
    <t>Machine Recipe Constraint Release</t>
  </si>
  <si>
    <t>Machine Recipe Constraint Release History</t>
  </si>
  <si>
    <t>Cancel Job</t>
  </si>
  <si>
    <t>Cancel Sorter Reservation</t>
  </si>
  <si>
    <t>Cancel Prepared Lot</t>
  </si>
  <si>
    <t>取消Prepare Lot</t>
  </si>
  <si>
    <t>Cancel Job In</t>
  </si>
  <si>
    <t>Cancel Track In</t>
  </si>
  <si>
    <t>Non-Sorter Job</t>
  </si>
  <si>
    <t>Job Out</t>
  </si>
  <si>
    <t>Track Out</t>
  </si>
  <si>
    <t xml:space="preserve">Track Out UI </t>
  </si>
  <si>
    <t>Job In</t>
  </si>
  <si>
    <t>Track In</t>
  </si>
  <si>
    <t>Track In 作业</t>
  </si>
  <si>
    <t>Job Preparation</t>
  </si>
  <si>
    <t>Prepare Lot</t>
  </si>
  <si>
    <t>Lot 预约</t>
  </si>
  <si>
    <t>Cancel Job Preparation</t>
  </si>
  <si>
    <t>Cancel Prepare Lot</t>
  </si>
  <si>
    <t>Reserve Machine In Current Step</t>
  </si>
  <si>
    <t xml:space="preserve">Preprae Lot前手动将Lot绑定Machine </t>
  </si>
  <si>
    <t>Cancel Reserve Machine In Current Step</t>
  </si>
  <si>
    <t>取消Lot对Machine 的绑定</t>
  </si>
  <si>
    <t>Restriction Machine</t>
  </si>
  <si>
    <t>View Cj And Pj</t>
  </si>
  <si>
    <t>Furnace Prepare Lot</t>
  </si>
  <si>
    <t>Create Batch</t>
  </si>
  <si>
    <t>1) Lot别Position 调整；2）Recipe Resolution; 3）Batch ID 生成</t>
  </si>
  <si>
    <t>Cancel Create Batch</t>
  </si>
  <si>
    <t>Batch ID 生成取消</t>
  </si>
  <si>
    <t>设置EDC Plan 的Wafer Selection  Rule</t>
  </si>
  <si>
    <t>Sorter Job</t>
  </si>
  <si>
    <t>Sorter Job In</t>
  </si>
  <si>
    <t>Sorter Track In</t>
  </si>
  <si>
    <t>Sorter设备已经预约的lot 进行Track In 处理</t>
  </si>
  <si>
    <t>Sorter Job Out</t>
  </si>
  <si>
    <t>Sorter Track Out</t>
  </si>
  <si>
    <t>Sorter设备Track Out</t>
  </si>
  <si>
    <t>Sorter Job Preparation</t>
  </si>
  <si>
    <t>Sorter Job Prepare</t>
  </si>
  <si>
    <t>Sorter Cancel Job Prepare</t>
  </si>
  <si>
    <t>Sorter Cancel Track In</t>
  </si>
  <si>
    <t>Sorter Job Cancel</t>
  </si>
  <si>
    <t>对机台Lot的数据收集。</t>
  </si>
  <si>
    <t>顾圣培</t>
  </si>
  <si>
    <t>未进行</t>
  </si>
  <si>
    <t>取消重新发送数据到SPC</t>
  </si>
  <si>
    <t>Lot Data Collection</t>
  </si>
  <si>
    <t>Data Collect Lot</t>
  </si>
  <si>
    <t>进行中</t>
  </si>
  <si>
    <t>HoldPPID Action Setting</t>
  </si>
  <si>
    <t>Data Collect Spec</t>
  </si>
  <si>
    <t>OOS/OOC/DataMissing Hold Machine Recipe 的Action 配置</t>
  </si>
  <si>
    <t>对Machine进行的数据收集</t>
  </si>
  <si>
    <t>重新发送EDC 数据到SPC</t>
  </si>
  <si>
    <t>绑定EDC Spec 到 process Operation</t>
  </si>
  <si>
    <t>绑定EDC Spec 到 process Operation历史记录查询页面</t>
  </si>
  <si>
    <t>查询Non-Lot 数据收集页面</t>
  </si>
  <si>
    <t>Constraint Setting</t>
  </si>
  <si>
    <t>北京</t>
  </si>
  <si>
    <t>Golden Tool</t>
  </si>
  <si>
    <t>Golden Tool Setting</t>
  </si>
  <si>
    <t>MFG Dispatch Setting</t>
  </si>
  <si>
    <t>Downgrade</t>
  </si>
  <si>
    <t>Modify Wafer Information</t>
  </si>
  <si>
    <t>Break Furnace Batch</t>
  </si>
  <si>
    <t>Break Batch</t>
  </si>
  <si>
    <t>Downgrade Setting</t>
  </si>
  <si>
    <t>NPW Inventory Setting</t>
  </si>
  <si>
    <t>Configure Control ID</t>
  </si>
  <si>
    <t>Furnace Monitor/Monitor/Dummy/Season/PM Season Control Rule Setting</t>
  </si>
  <si>
    <t>PM Season Group</t>
  </si>
  <si>
    <t>Dummy In</t>
  </si>
  <si>
    <t>Dummy Load</t>
  </si>
  <si>
    <t>Dummy Out</t>
  </si>
  <si>
    <t>Dummy UnLoad</t>
  </si>
  <si>
    <t>Furance Batch Waiting In Tool</t>
  </si>
  <si>
    <t>View Furnace Wait Batch</t>
  </si>
  <si>
    <t>InUse End</t>
  </si>
  <si>
    <t>In Use End(Merge)</t>
  </si>
  <si>
    <t>View In Use Start Lot</t>
  </si>
  <si>
    <t>Inuse Start With Split</t>
  </si>
  <si>
    <t>In Use Start(Split)</t>
  </si>
  <si>
    <t>Recycle End</t>
  </si>
  <si>
    <t>View Recycle End Lot List</t>
  </si>
  <si>
    <t>Set Furnace batch boat information</t>
  </si>
  <si>
    <t>Furnace Batch Boat Info Setting</t>
  </si>
  <si>
    <t>Reset Equipment Control State</t>
  </si>
  <si>
    <t>View Machine Control Status</t>
  </si>
  <si>
    <t>View NPW Inventory Status</t>
  </si>
  <si>
    <t>View Equipment Control Status</t>
  </si>
  <si>
    <t>View Equipment Dummy Lot History</t>
  </si>
  <si>
    <t>View Machine Dummy Lot History</t>
  </si>
  <si>
    <t>View Equipment Dummy Status</t>
  </si>
  <si>
    <t>View Machine Dummy Information</t>
  </si>
  <si>
    <t>View Equipment Dummy Wafer History</t>
  </si>
  <si>
    <t>View Machine Dummy Wafer History</t>
  </si>
  <si>
    <t>View Monitor Status</t>
  </si>
  <si>
    <t>View NPW PFO</t>
  </si>
  <si>
    <t>View Monitor Lot History</t>
  </si>
  <si>
    <t>View Season Lot History</t>
  </si>
  <si>
    <t>View Season History</t>
  </si>
  <si>
    <t>QUERY UI</t>
  </si>
  <si>
    <t>查询正在执行的OCAP逻辑</t>
  </si>
  <si>
    <t>2023 2Q</t>
  </si>
  <si>
    <t>Create Reticle</t>
  </si>
  <si>
    <t>Scan In</t>
  </si>
  <si>
    <t>Reticle Scan In</t>
  </si>
  <si>
    <t>Reticle Bank Out</t>
  </si>
  <si>
    <t>Clean</t>
  </si>
  <si>
    <t>View Reticle List</t>
  </si>
  <si>
    <t>Clean Complete</t>
  </si>
  <si>
    <t>Reticle Clean Complete</t>
  </si>
  <si>
    <t>Confirm Mask Quality</t>
  </si>
  <si>
    <t>Quality Check</t>
  </si>
  <si>
    <t>对Reticle的数据收集</t>
  </si>
  <si>
    <t>Hold Reticle</t>
  </si>
  <si>
    <t>Kit And Unkit</t>
  </si>
  <si>
    <t>Kit And UnKit</t>
  </si>
  <si>
    <t>View Pod List</t>
  </si>
  <si>
    <t>Reticle Main Screen</t>
  </si>
  <si>
    <t>Change State</t>
  </si>
  <si>
    <t>Pod Clean Complete</t>
  </si>
  <si>
    <t>Exchange</t>
  </si>
  <si>
    <t>Pod Exchange</t>
  </si>
  <si>
    <t>Pod Main Screen</t>
  </si>
  <si>
    <t>Pod Release</t>
  </si>
  <si>
    <t>Pod Cancel Scrap</t>
  </si>
  <si>
    <t>Release Reticle</t>
  </si>
  <si>
    <t>Reticle Release</t>
  </si>
  <si>
    <t>Inspection Request</t>
  </si>
  <si>
    <t>Request Scan</t>
  </si>
  <si>
    <t>History</t>
  </si>
  <si>
    <t>Material History</t>
  </si>
  <si>
    <t>Reticle Scrap</t>
  </si>
  <si>
    <t>Scan Complete</t>
  </si>
  <si>
    <t>Reticle Scan Out</t>
  </si>
  <si>
    <t>Starlight</t>
  </si>
  <si>
    <t>Inspection(Scan）周期</t>
  </si>
  <si>
    <t>Reticle Unload</t>
  </si>
  <si>
    <t>Reticle UnScrap</t>
  </si>
  <si>
    <t xml:space="preserve">Cancel Scrap Reticle </t>
  </si>
  <si>
    <t>Reticle Transfer In</t>
  </si>
  <si>
    <t>Reticle Transfer Out</t>
  </si>
  <si>
    <t>Wafer Count</t>
  </si>
  <si>
    <t>Reticle Wafer Count</t>
  </si>
  <si>
    <t>XCDA Qtime</t>
  </si>
  <si>
    <t>XCDA Time.Purge Time Spec</t>
  </si>
  <si>
    <t>Set Scan Lot</t>
  </si>
  <si>
    <t>Set Sampling Skip Lot</t>
  </si>
  <si>
    <t>Sampling Reserve Lot List</t>
  </si>
  <si>
    <t>Sampling Skip Lot List</t>
  </si>
  <si>
    <t>Lot Sampling Run Time History</t>
  </si>
  <si>
    <t>Wafer Selection Rule</t>
  </si>
  <si>
    <t>Machine Sampling</t>
  </si>
  <si>
    <t>Pre-Post Sampling</t>
  </si>
  <si>
    <t>Layer Change Sampling</t>
  </si>
  <si>
    <t>Furnace Monitor Sampling</t>
  </si>
  <si>
    <t>FML Sampling</t>
  </si>
  <si>
    <t>测试中</t>
  </si>
  <si>
    <t>WT Hold Information</t>
  </si>
  <si>
    <t>Reposition Step</t>
  </si>
  <si>
    <t>Cancel Scrap</t>
  </si>
  <si>
    <t>Lot Process Version</t>
  </si>
  <si>
    <t>Change Port Mode</t>
  </si>
  <si>
    <t>一级名字</t>
  </si>
  <si>
    <t>二级名字</t>
  </si>
  <si>
    <t>三级名字</t>
  </si>
  <si>
    <t xml:space="preserve"> Source Lot</t>
  </si>
  <si>
    <t>Wafer Start</t>
  </si>
  <si>
    <t>Tracking</t>
  </si>
  <si>
    <t>Test</t>
  </si>
  <si>
    <t>Lot Queue</t>
  </si>
  <si>
    <t>Batch</t>
  </si>
  <si>
    <t>Release Split Run Card</t>
  </si>
  <si>
    <t>Run Card Reform</t>
  </si>
  <si>
    <t>Machine Recipe Control</t>
  </si>
  <si>
    <t>Future Action</t>
  </si>
  <si>
    <t>Scrap Lot</t>
  </si>
  <si>
    <t>Lot Attribute</t>
  </si>
  <si>
    <t>Break Dedication</t>
  </si>
  <si>
    <t>Port</t>
  </si>
  <si>
    <t>Create Work Order</t>
  </si>
  <si>
    <t>View Work Order</t>
  </si>
  <si>
    <t>Work Order Approval</t>
  </si>
  <si>
    <t>Calendar</t>
  </si>
  <si>
    <t>Management</t>
  </si>
  <si>
    <t>Transport</t>
  </si>
  <si>
    <t>View Transport Queue</t>
  </si>
  <si>
    <t>Stocker</t>
  </si>
  <si>
    <t>Stocker Capacity</t>
  </si>
  <si>
    <t>Stocker Inventory</t>
  </si>
  <si>
    <t>Re Transport Failed Lot</t>
  </si>
  <si>
    <t>View</t>
  </si>
  <si>
    <t>Transport Storage Info</t>
  </si>
  <si>
    <t>Transfer Job List</t>
  </si>
  <si>
    <t>Inventory List</t>
  </si>
  <si>
    <t>Machine State List</t>
  </si>
  <si>
    <t>Stocker CAPA.</t>
  </si>
  <si>
    <t>Default Storage</t>
  </si>
  <si>
    <t>Command</t>
  </si>
  <si>
    <t>Manual Transfer</t>
  </si>
  <si>
    <t>Change Destination</t>
  </si>
  <si>
    <t>Change Transfer Priority</t>
  </si>
  <si>
    <t>Cancel Transfer Job</t>
  </si>
  <si>
    <t>Retry Alternative Job</t>
  </si>
  <si>
    <t>Synchronization</t>
  </si>
  <si>
    <t>Bank</t>
  </si>
  <si>
    <t>Transfer</t>
  </si>
  <si>
    <t>Label Print</t>
  </si>
  <si>
    <t>NPW</t>
  </si>
  <si>
    <t>Spec</t>
  </si>
  <si>
    <t>Furnace Monitor Control Rule Setting</t>
  </si>
  <si>
    <t>Dummy Control Rule Setting</t>
  </si>
  <si>
    <t>Monitor Control Rule Setting</t>
  </si>
  <si>
    <t>Season Control Rule Setting</t>
  </si>
  <si>
    <t>NPW Main Flow</t>
  </si>
  <si>
    <t>In Use End</t>
  </si>
  <si>
    <t>Dummy</t>
  </si>
  <si>
    <t>Furnace Monitor</t>
  </si>
  <si>
    <t>Season</t>
  </si>
  <si>
    <t>PM Season Control Rule Setting</t>
  </si>
  <si>
    <t>Inquiry</t>
  </si>
  <si>
    <t>Pod</t>
  </si>
  <si>
    <t>Alarm</t>
  </si>
  <si>
    <t>Wafer</t>
  </si>
  <si>
    <t>Q-Time</t>
  </si>
  <si>
    <t>序号</t>
  </si>
  <si>
    <t>一级模块</t>
  </si>
  <si>
    <t>二级模块</t>
  </si>
  <si>
    <t>三级模块(Function Name)</t>
  </si>
  <si>
    <t>UI</t>
  </si>
  <si>
    <t>Access String Full Name</t>
  </si>
  <si>
    <t>Main WIP</t>
  </si>
  <si>
    <t>#N/A</t>
  </si>
  <si>
    <t>Update Recipe:弹出Update Recipe框</t>
  </si>
  <si>
    <t>PHOTO WIP</t>
  </si>
  <si>
    <t>Search：通过条件查询ProcessOperationList数据</t>
  </si>
  <si>
    <t>Scanner Queue Add:新增Scanner Q</t>
  </si>
  <si>
    <t>Scanner Queue Delete:删除Scanner Q</t>
  </si>
  <si>
    <t>check：移动后保存RunLotList的Lot顺序</t>
  </si>
  <si>
    <t>Pause Add:阻止Scanner Q生成</t>
  </si>
  <si>
    <t>Pause Delete:删除阻止Scanner Q生成</t>
  </si>
  <si>
    <t>Track Recipe:选择TrackRecipe</t>
  </si>
  <si>
    <t>Scanner Recipe:选择ScannerRecipe</t>
  </si>
  <si>
    <t>Sorter WIP</t>
  </si>
  <si>
    <t>WIP UI(Lot View)</t>
  </si>
  <si>
    <t xml:space="preserve">Product Order </t>
  </si>
  <si>
    <t>Create:创建Product Order</t>
  </si>
  <si>
    <t>Remove:删除Product Order</t>
  </si>
  <si>
    <t>Modify :修改Produt Order</t>
  </si>
  <si>
    <t xml:space="preserve">Work Order </t>
  </si>
  <si>
    <t xml:space="preserve">Create:创建Work Order </t>
  </si>
  <si>
    <t xml:space="preserve">Remove:删除Work Order </t>
  </si>
  <si>
    <t xml:space="preserve">Modify :修改Work Order </t>
  </si>
  <si>
    <t>History：查看History</t>
  </si>
  <si>
    <t>Confirm：确认生成Lot Name</t>
  </si>
  <si>
    <t>Modify：对Lot 的Plan Data 编辑进行保存</t>
  </si>
  <si>
    <t>Cancel：删除已生成的Lot Name</t>
  </si>
  <si>
    <t>Release : 针对qty&lt;create qty的lot强制Release</t>
  </si>
  <si>
    <t>Source Lot</t>
  </si>
  <si>
    <t>Confirm：接收Raw Wafer</t>
  </si>
  <si>
    <t>Confirm：生成Source Vendor Lot</t>
  </si>
  <si>
    <t>View Source Vendor Lot List</t>
  </si>
  <si>
    <t>Search</t>
  </si>
  <si>
    <t>Confirm：manual start lot</t>
  </si>
  <si>
    <t>Start Lot(PDA)</t>
  </si>
  <si>
    <t>Confirm：使用PDA start lot</t>
  </si>
  <si>
    <t>Confirm：对T7 Code 进行手动编辑</t>
  </si>
  <si>
    <t>Start Lot (Auto)</t>
  </si>
  <si>
    <t>Confirm：Auto start lot</t>
  </si>
  <si>
    <t>Confirm：fast track in</t>
  </si>
  <si>
    <t>Zero Layer  Wafer Start</t>
  </si>
  <si>
    <t>Confirm</t>
  </si>
  <si>
    <t>Cancel Reserve：取消Sorter 操作</t>
  </si>
  <si>
    <t>Manual Track Out</t>
  </si>
  <si>
    <t>Skip：从虚拟栈点skip 到实际第一栈</t>
  </si>
  <si>
    <t xml:space="preserve">Input Plan Report </t>
  </si>
  <si>
    <t>WaferSelect:量测lot选择wafer</t>
  </si>
  <si>
    <t>Confirm：提交页面数据，执行JobPrepare操作</t>
  </si>
  <si>
    <t>Confirm：提交页面数据，执行CancelJobPrepare操作</t>
  </si>
  <si>
    <t>Confirm：提交页面数据，执行TrackIn操作</t>
  </si>
  <si>
    <t>Cancel TrackIn</t>
  </si>
  <si>
    <t>Confirm：提交页面数据，执行CancelTrackIn操作</t>
  </si>
  <si>
    <t>Search：查看Lot/同Batch Lot的信息</t>
  </si>
  <si>
    <t>Reset：清空查询框的数据</t>
  </si>
  <si>
    <t>Confirm：提交页面数据，执行TrackOut操作</t>
  </si>
  <si>
    <t>Sorter Prepare Lot</t>
  </si>
  <si>
    <t>Sorter Cancel Prepared Lot</t>
  </si>
  <si>
    <t>Confirm：提交页面数据，执行CancelJobPrepare</t>
  </si>
  <si>
    <t>Sorter Cancel TrackIn</t>
  </si>
  <si>
    <t>Cancel Sorter Job</t>
  </si>
  <si>
    <t>Confirm：提交页面数据，执行CancelSorterjob操作</t>
  </si>
  <si>
    <t>Reserve Machine in Current Step</t>
  </si>
  <si>
    <t>Confirm：提交页面数据，执行设备预约操作</t>
  </si>
  <si>
    <t>Cancel Reserve Machine in Current Step</t>
  </si>
  <si>
    <t>Confirm：提交页面数据，执行取消设备预约操作</t>
  </si>
  <si>
    <t>Multi Prepare Lot</t>
  </si>
  <si>
    <t>Confirm：提交页面数据，执行CreateBatch操作</t>
  </si>
  <si>
    <t>Confirm：提交页面数据，执行CancelCreateBatch操作</t>
  </si>
  <si>
    <t>Machine Recipe Hold/Realase</t>
  </si>
  <si>
    <t>Machine Recipe Event History</t>
  </si>
  <si>
    <t>Machine Recipe Resolution History</t>
  </si>
  <si>
    <t>LOT DC UI</t>
  </si>
  <si>
    <t>数据提交Comfirm、OOS  信息 确认按钮</t>
  </si>
  <si>
    <t>Non Lot DC</t>
  </si>
  <si>
    <t>数据提交Comfirm、OOS 信息确认按钮</t>
  </si>
  <si>
    <t>Adhoc DC</t>
  </si>
  <si>
    <t>Reticle DC</t>
  </si>
  <si>
    <t>Carrier DC</t>
  </si>
  <si>
    <t>ETC</t>
  </si>
  <si>
    <t>InLine Data BoatSlot</t>
  </si>
  <si>
    <t>VIEW FOUP-Lot Reservation</t>
  </si>
  <si>
    <t>Save Draft</t>
  </si>
  <si>
    <t>Copy</t>
  </si>
  <si>
    <t>Start Run Card</t>
  </si>
  <si>
    <t>Change Lot Process State</t>
  </si>
  <si>
    <t>View Run Card State</t>
  </si>
  <si>
    <t>Confirm: 变更Run Card State</t>
  </si>
  <si>
    <t>Change Run Card State</t>
  </si>
  <si>
    <t>Create Recover Run Card</t>
  </si>
  <si>
    <t>Save Draft: 保存草稿</t>
  </si>
  <si>
    <t>Confirm: 提交申请</t>
  </si>
  <si>
    <t xml:space="preserve">Confirm：对Lot 进行Hold </t>
  </si>
  <si>
    <t xml:space="preserve">Confirm：对批量Lot 进行Hold </t>
  </si>
  <si>
    <t xml:space="preserve">Confirm：对Lot 进行Release </t>
  </si>
  <si>
    <t>Confirm：对批量Lot 进行Release</t>
  </si>
  <si>
    <t>Confirm：对已Hold Lot 信息进行编辑</t>
  </si>
  <si>
    <t>PHOTO Reject Action</t>
  </si>
  <si>
    <t>CUST. Hold Rule</t>
  </si>
  <si>
    <t>Release Action</t>
  </si>
  <si>
    <t>Confirm：Release+ Rework..等合并操作</t>
  </si>
  <si>
    <t>Confirm：lot Rework</t>
  </si>
  <si>
    <t>Confirm：cancel Rework</t>
  </si>
  <si>
    <t>Split-Rework</t>
  </si>
  <si>
    <t>Confirm：Split-Rework</t>
  </si>
  <si>
    <t>Confirm：Spilt</t>
  </si>
  <si>
    <t>Confirm：Merge</t>
  </si>
  <si>
    <t>Confirm：更换同类型盒子</t>
  </si>
  <si>
    <t>Confirm：更不同类型盒子</t>
  </si>
  <si>
    <t>Confirm：更换slot 顺序</t>
  </si>
  <si>
    <t>Confirm：转角</t>
  </si>
  <si>
    <t xml:space="preserve">Wafer Verfication </t>
  </si>
  <si>
    <t>Confirm：读片</t>
  </si>
  <si>
    <t>Confirm：申请报废</t>
  </si>
  <si>
    <t>Confirm：取消申请</t>
  </si>
  <si>
    <t xml:space="preserve">Scrap </t>
  </si>
  <si>
    <t>Confirm：报废</t>
  </si>
  <si>
    <t>Confirm：取消报废</t>
  </si>
  <si>
    <t xml:space="preserve">Terminate Lot </t>
  </si>
  <si>
    <t>Ser Future Hold</t>
  </si>
  <si>
    <t>Confirm：设定Future Hold</t>
  </si>
  <si>
    <t>Batch Futrure Hold</t>
  </si>
  <si>
    <t>Confirm：设定批量Future Hold</t>
  </si>
  <si>
    <t>Ser Future Rework</t>
  </si>
  <si>
    <t>Confirm：设定Future Rework</t>
  </si>
  <si>
    <t>Confirm：设定Future Reserve</t>
  </si>
  <si>
    <t xml:space="preserve">Set Future Split </t>
  </si>
  <si>
    <t>Confirm：设定Future Spilt</t>
  </si>
  <si>
    <t>FutureActionList</t>
  </si>
  <si>
    <t>Delete：删除Future 信息</t>
  </si>
  <si>
    <t>Confirm：Skip Step</t>
  </si>
  <si>
    <t>Confirm：Back Step</t>
  </si>
  <si>
    <t>Confirm：Reposition Step</t>
  </si>
  <si>
    <t>Samping</t>
  </si>
  <si>
    <t>Confirm：提交数据手动设置Special YE Step Scan Lot</t>
  </si>
  <si>
    <t>Set Chamber Scan Lot</t>
  </si>
  <si>
    <t>页面待改造.....</t>
  </si>
  <si>
    <t>Modify：修改Sampling Reserve Lot
Remove：清除SamplingReserveLot的信息</t>
  </si>
  <si>
    <t>Confirm：提交数据设置Sampling Skip Lot</t>
  </si>
  <si>
    <t>Delete：清除Sampling Skip Lot信息</t>
  </si>
  <si>
    <t>Search：查询Lot Sampling 的Run time信息</t>
  </si>
  <si>
    <t>Confirm：创建Pilot</t>
  </si>
  <si>
    <t>Search：查看Pilot</t>
  </si>
  <si>
    <t>Confirm：中止 Pilot</t>
  </si>
  <si>
    <t>Confirm：Release Hold Pilot</t>
  </si>
  <si>
    <t>Confirm：终止Pilot</t>
  </si>
  <si>
    <t>Confirm: 对PW 进行Reassign</t>
  </si>
  <si>
    <t>Confirm：对NPW 进行Reassign</t>
  </si>
  <si>
    <t>Confirm：Future Reassign</t>
  </si>
  <si>
    <t>Lot  Attribute</t>
  </si>
  <si>
    <t>Confirm：Add Steps</t>
  </si>
  <si>
    <t>Confirm：Add Comment</t>
  </si>
  <si>
    <t xml:space="preserve">Set Stepper </t>
  </si>
  <si>
    <t xml:space="preserve">Lot Specialization </t>
  </si>
  <si>
    <t>Confirm：Modify Lot Attribute</t>
  </si>
  <si>
    <t>Confirm：对批量Lot 进行Modify Lot Attribute</t>
  </si>
  <si>
    <t>Confirm：权限管控QC 可Modify</t>
  </si>
  <si>
    <t>Confirm：权限管控MFG 可Modify</t>
  </si>
  <si>
    <t>Confirm：Modify Contamination Level</t>
  </si>
  <si>
    <t>Confirm：Bank In</t>
  </si>
  <si>
    <t>Confirm：Bank Out</t>
  </si>
  <si>
    <t>View Bank Info.</t>
  </si>
  <si>
    <t>Search：查看Bank 信息</t>
  </si>
  <si>
    <t>Confirm：Move Bank</t>
  </si>
  <si>
    <t xml:space="preserve">Transfer </t>
  </si>
  <si>
    <t>Transfer Lot Plan</t>
  </si>
  <si>
    <t>Create:创建Plan</t>
  </si>
  <si>
    <t>Remove:删除Plan</t>
  </si>
  <si>
    <t>Modify :修改Plan</t>
  </si>
  <si>
    <t>Transfer Lot Report</t>
  </si>
  <si>
    <t>Confirm：更改day Plan数量</t>
  </si>
  <si>
    <t>FAB Attribute Mapping Config</t>
  </si>
  <si>
    <t>Create:创建</t>
  </si>
  <si>
    <t>Remove:删除</t>
  </si>
  <si>
    <t>Modify :修改</t>
  </si>
  <si>
    <t>FAB Attribute Value Mapping</t>
  </si>
  <si>
    <t>Modify：更改Value及MappingValue</t>
  </si>
  <si>
    <t>Transfer Lot To Other FAB</t>
  </si>
  <si>
    <t>Confirm：Transfer Lot To Other FAB</t>
  </si>
  <si>
    <t>Recieve Own FAB Transfer Lot</t>
  </si>
  <si>
    <t>Confirm：Recieve Own FAB Transfer Lot</t>
  </si>
  <si>
    <t>Recieve Other FAB  Lot</t>
  </si>
  <si>
    <t>Confirm：Recieve Other FAB  Lot</t>
  </si>
  <si>
    <t>Cancel Transfer</t>
  </si>
  <si>
    <t>Confirm：Cancel Transfer</t>
  </si>
  <si>
    <t>View Transfer Lot List</t>
  </si>
  <si>
    <t>Label</t>
  </si>
  <si>
    <t xml:space="preserve">Lot Label </t>
  </si>
  <si>
    <t xml:space="preserve">Confirm：Lot Label </t>
  </si>
  <si>
    <t>Confirm：生成Barcode</t>
  </si>
  <si>
    <t xml:space="preserve">RSP Label </t>
  </si>
  <si>
    <t xml:space="preserve">Confirm：RSP Label </t>
  </si>
  <si>
    <t xml:space="preserve">Reticle Label </t>
  </si>
  <si>
    <t xml:space="preserve">Confirm：Reticle Label </t>
  </si>
  <si>
    <t xml:space="preserve">FOSB Label </t>
  </si>
  <si>
    <t>Confirm：生成FOSB ID</t>
  </si>
  <si>
    <t>Confirm：fab out</t>
  </si>
  <si>
    <t>Cancel Ship</t>
  </si>
  <si>
    <t>Confirm：cancel fab out</t>
  </si>
  <si>
    <t>EQP State</t>
  </si>
  <si>
    <t>Comfirm: 数据提交</t>
  </si>
  <si>
    <t>Change Machine Mode</t>
  </si>
  <si>
    <t>Capability</t>
  </si>
  <si>
    <t>Set Machine Capability</t>
  </si>
  <si>
    <t>PM Card</t>
  </si>
  <si>
    <t>Manual CBM</t>
  </si>
  <si>
    <t>Reset CBM</t>
  </si>
  <si>
    <t>EC Work Order</t>
  </si>
  <si>
    <t>Inform Note</t>
  </si>
  <si>
    <t>[Inform Type Data Tab]</t>
  </si>
  <si>
    <t>[History Type Data Tab]</t>
  </si>
  <si>
    <t>Inform Notice</t>
  </si>
  <si>
    <t>Other</t>
  </si>
  <si>
    <t xml:space="preserve">MFG Eqp Security Control Maintenance </t>
  </si>
  <si>
    <t>Customize(定制) EQP Information</t>
  </si>
  <si>
    <t>Carrier Management</t>
  </si>
  <si>
    <t>Create:创建Carrier Name</t>
  </si>
  <si>
    <t>Carrier RFID Managerment</t>
  </si>
  <si>
    <t>Print: 打印标签
RFID Clear: 清除RFID上Carrier信息
Confirm: 数据提交</t>
  </si>
  <si>
    <t>Assign: Lot与Carrier绑定</t>
  </si>
  <si>
    <t>Deassign: Lot与Carrier解绑</t>
  </si>
  <si>
    <t>Hold: 锁定Carrier</t>
  </si>
  <si>
    <t>Release: 解锁Carrier</t>
  </si>
  <si>
    <t>Scrap: 报废Carrier</t>
  </si>
  <si>
    <t>Confirm: 数据提交,取消报废Carrier</t>
  </si>
  <si>
    <t>Change Carrer Info</t>
  </si>
  <si>
    <t>Confirm: 数据提交,更改Carrier信息</t>
  </si>
  <si>
    <t>Carrier Clean</t>
  </si>
  <si>
    <t>Set  Carrier Clean</t>
  </si>
  <si>
    <t>Confirm: 数据提交,手动预约Carrier Clean</t>
  </si>
  <si>
    <t>Start Carrier Clean</t>
  </si>
  <si>
    <t>Confirm: 数据提交,手动Start Carrier Clean
Cancel Carrier Clean: 跳转到Cancel Carrier Clean页面</t>
  </si>
  <si>
    <t>End Carrier Clean</t>
  </si>
  <si>
    <t>Confirm: 数据提交,手动End Carrier Clean
Cancel Carrier Clean: 跳转到Cancel Carrier Clean页面</t>
  </si>
  <si>
    <t>Change Carrier Clean  State</t>
  </si>
  <si>
    <t>Confirm: 数据提交,更改Clean State</t>
  </si>
  <si>
    <t>Cancel Start Carrier Clean: 手动Cancel Start Carrier Clean数据
Cancel Set Carrier Clean: 手动Cancel Set Carrier Clean数据</t>
  </si>
  <si>
    <t>Carrier Down Grade</t>
  </si>
  <si>
    <t>Carrier Downgrade Maps</t>
  </si>
  <si>
    <t>Carrier Model Number Maps</t>
  </si>
  <si>
    <t>Carrier Parts Management</t>
  </si>
  <si>
    <t>Carrier Part</t>
  </si>
  <si>
    <t>Carrier Part &amp; Carrier Part Maps</t>
  </si>
  <si>
    <t>View Carrier Part Info</t>
  </si>
  <si>
    <t>Carrier Inspection</t>
  </si>
  <si>
    <t xml:space="preserve">Cancel Inspection </t>
  </si>
  <si>
    <t>Start Inspection</t>
  </si>
  <si>
    <t>Set Disposal</t>
  </si>
  <si>
    <t>Cancel Disposal</t>
  </si>
  <si>
    <t>End Inspection</t>
  </si>
  <si>
    <t>SPEC</t>
  </si>
  <si>
    <t>Create,Modify,Remove,Copy,Confirm</t>
  </si>
  <si>
    <t>Furnace Monitor  Control Rule Setting</t>
  </si>
  <si>
    <t>Create,Modify,Remove,Confirm</t>
  </si>
  <si>
    <t>In Use Start</t>
  </si>
  <si>
    <t>Split: Split Lot</t>
  </si>
  <si>
    <t>Confirm: Split &amp; In Use Start</t>
  </si>
  <si>
    <t xml:space="preserve">In Use Start Auto Split Sorter Job Create(Time) </t>
  </si>
  <si>
    <t>Auto Change Control ID Flag N-&gt;Y(Time)</t>
  </si>
  <si>
    <t>View Machine Monitor Status</t>
  </si>
  <si>
    <t>Complete Monitor</t>
  </si>
  <si>
    <t>Delay Monitor</t>
  </si>
  <si>
    <t>Complete Monitor Control</t>
  </si>
  <si>
    <t>Delay Monitor Control</t>
  </si>
  <si>
    <t>NPW In Use Start Adhoc Merge Sorter Job Create (Time)</t>
  </si>
  <si>
    <t>Confirm: Merge Lot (In Use End站点), 25张后Skip当前站点</t>
  </si>
  <si>
    <t>Auto In Use End Merge Sorter Job Create</t>
  </si>
  <si>
    <t>In Use Start (Adhoc Merge)</t>
  </si>
  <si>
    <t>Confirm: Merge Lot (In Use Start 站点)</t>
  </si>
  <si>
    <t xml:space="preserve">View Recycle End Lot List </t>
  </si>
  <si>
    <t>Reuse</t>
  </si>
  <si>
    <t>Make Recycle End Lot To Re Use</t>
  </si>
  <si>
    <t>Confirm: Downgrade Lot</t>
  </si>
  <si>
    <t>Change NPW Product Spec</t>
  </si>
  <si>
    <t>Confirm: 修改Wafer信息</t>
  </si>
  <si>
    <t>Time Auto Change Wafer Clean State Clean-&gt;Dirty</t>
  </si>
  <si>
    <t>Reset DC Result,</t>
  </si>
  <si>
    <t>REQ Track In</t>
  </si>
  <si>
    <t>FML Safety Inventory 维护功能（Time）</t>
  </si>
  <si>
    <t>Modify MC Dummy Info</t>
  </si>
  <si>
    <t>Recipe Group</t>
  </si>
  <si>
    <t>View Machine Control Status(Season)</t>
  </si>
  <si>
    <t>PM Season Control ID</t>
  </si>
  <si>
    <t>View Machine Dummy Infomation</t>
  </si>
  <si>
    <t xml:space="preserve">View NPW Lot Information </t>
  </si>
  <si>
    <t xml:space="preserve">View Machine Dummy Wafer History </t>
  </si>
  <si>
    <t xml:space="preserve">Farnace Batch History </t>
  </si>
  <si>
    <t>Reticle List</t>
  </si>
  <si>
    <t>Hold: 锁住Reticle  
Inspect Request: 检测请求
Clean: 更改Reticle Clean State
Scan Request: 扫描请求
Scrap: 报废Reticle
Bank In：Bank In</t>
  </si>
  <si>
    <t xml:space="preserve">Create Reticle </t>
  </si>
  <si>
    <t>Generate: 创建生成Reticle Name
Confirm：数据提交</t>
  </si>
  <si>
    <t>Quallity Check</t>
  </si>
  <si>
    <t>Confirm：数据提交</t>
  </si>
  <si>
    <t>Reticle Process Attach</t>
  </si>
  <si>
    <t>Add：新增Reticle与机台绑定
Modify：编辑Reticle与机台绑定信息
Remove: 删除Reticle与机台绑定</t>
  </si>
  <si>
    <t>Reticle Load/Unload</t>
  </si>
  <si>
    <t>Load: Load Reticle
Unload: Uload Reticle</t>
  </si>
  <si>
    <t>Reticle Transport</t>
  </si>
  <si>
    <t>Reticle Out: 将Reticle调出Stocker</t>
  </si>
  <si>
    <t>Special Dismount</t>
  </si>
  <si>
    <t>Reticle Inspect In</t>
  </si>
  <si>
    <t>Inspect In: Manual Inspect Start</t>
  </si>
  <si>
    <t>Reticle Inspect Out</t>
  </si>
  <si>
    <t>Inspect Out: Manual Inspect End</t>
  </si>
  <si>
    <t>Clean Complete: Manual Clean End</t>
  </si>
  <si>
    <t xml:space="preserve">Reticle  Release </t>
  </si>
  <si>
    <t>Release: Reticle解锁</t>
  </si>
  <si>
    <t xml:space="preserve">BankOut </t>
  </si>
  <si>
    <t xml:space="preserve">Bank Out：Bank Out </t>
  </si>
  <si>
    <t>Cancel Scrap Reticle</t>
  </si>
  <si>
    <t>Confirm：数据提交，取消报废Reticle</t>
  </si>
  <si>
    <t>Reticle Scran In</t>
  </si>
  <si>
    <t>Scran In: Manual Scan Start</t>
  </si>
  <si>
    <t>Scan Out: Manual Scan End</t>
  </si>
  <si>
    <t>Return</t>
  </si>
  <si>
    <t>Retrive</t>
  </si>
  <si>
    <t>Maual Data Collection</t>
  </si>
  <si>
    <t>Reticle Info. Maintenence</t>
  </si>
  <si>
    <t>RSP</t>
  </si>
  <si>
    <t>RSPList</t>
  </si>
  <si>
    <t>Create: 弹框操作，创建生成RSP Name
Change Info: 弹框操作，更改RSP Info
Assign: 弹框操作,Rsp 与Reticle绑定
Deassign: 弹框操作,Rsp 与Reticle解绑
Hold: 弹框操作，锁住RSP
Clean: 弹框操作，更改Rsp Clean State
Scrap：弹框操作，报废RSP</t>
  </si>
  <si>
    <t>Create RSP</t>
  </si>
  <si>
    <t>Confirm：数据提交
Cancel: 关掉页面</t>
  </si>
  <si>
    <t>Change RSP Info</t>
  </si>
  <si>
    <t>Assign reticle to RSP</t>
  </si>
  <si>
    <t>Deassign reticle from RSP</t>
  </si>
  <si>
    <t>Hold RSP</t>
  </si>
  <si>
    <t>Clean RSP</t>
  </si>
  <si>
    <t>Scrap RSP</t>
  </si>
  <si>
    <t>RSP Clean Complete</t>
  </si>
  <si>
    <t>Confirm：数据提交，Manual Clean Complete</t>
  </si>
  <si>
    <t>Exchange RSP</t>
  </si>
  <si>
    <t>Exchange: 给两个Reticle交换RSP</t>
  </si>
  <si>
    <t>Release RSP</t>
  </si>
  <si>
    <t>Release: RSP解锁</t>
  </si>
  <si>
    <t>RSP Cancel Scrap</t>
  </si>
  <si>
    <t>RSP Cancel Scrap: 取消报废</t>
  </si>
  <si>
    <t>Repair RSP</t>
  </si>
  <si>
    <t>Lot/Wafer</t>
  </si>
  <si>
    <t>Lot Info.</t>
  </si>
  <si>
    <t>ViewLotList</t>
  </si>
  <si>
    <t>View Wafer Info.</t>
  </si>
  <si>
    <t>T7 Code View</t>
  </si>
  <si>
    <t>Lot History</t>
  </si>
  <si>
    <t xml:space="preserve">Wafer Slot History </t>
  </si>
  <si>
    <t>PM,BM History</t>
  </si>
  <si>
    <t>View Carrier List</t>
  </si>
  <si>
    <t>Scrap Carrier：跳转按钮，跳转到Scrap Carrier页面
Cancel Scrap Carrier：跳转按钮，跳转到Cancel Scrap Carrier页面
Change Carrier Info: 跳转按钮，跳转至Change Carrier Info页面
Clean Carrier: 跳转按钮，跳转至Change Carrier Clean State
Release Carrier: 跳转按钮，跳转至Release Carrier页面
Hold Carrier；跳转按钮，跳转至Hold Carrier页面</t>
  </si>
  <si>
    <t>Search: 页面数据搜索
Reset: 清空搜索栏内数据</t>
  </si>
  <si>
    <t>JP Fail Lot List</t>
  </si>
  <si>
    <t>OCAP MGMT</t>
  </si>
  <si>
    <t>Show OCAP Detail Info</t>
  </si>
  <si>
    <t>Change Measure Machine</t>
  </si>
  <si>
    <t>Modify Reason Code</t>
  </si>
  <si>
    <t>Dispatch</t>
  </si>
  <si>
    <t>Change Flow</t>
  </si>
  <si>
    <t>Change Step</t>
  </si>
  <si>
    <t>Remeasurement</t>
  </si>
  <si>
    <t>Add Measurement</t>
  </si>
  <si>
    <t>Engineer 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</si>
</sst>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 x14ac:knownFonts="1">
    <font>
      <sz val="10"/>
      <color theme="1"/>
      <name val="等线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417FF9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.45"/>
      <color rgb="FF000000"/>
      <name val="Calibri"/>
      <family val="2"/>
    </font>
    <font>
      <b/>
      <sz val="10.45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.45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2.5"/>
      <color rgb="FF000000"/>
      <name val="Calibri"/>
      <family val="2"/>
    </font>
    <font>
      <b/>
      <sz val="10"/>
      <color rgb="FF000000"/>
      <name val="Calibri"/>
      <family val="2"/>
    </font>
    <font>
      <b/>
      <sz val="16"/>
      <color rgb="FF000000"/>
      <name val="Calibri"/>
      <family val="2"/>
    </font>
    <font>
      <b/>
      <sz val="10"/>
      <color rgb="FF335593"/>
      <name val="Calibri"/>
      <family val="2"/>
    </font>
    <font>
      <b/>
      <sz val="16"/>
      <color rgb="FF000000"/>
      <name val="Calibri"/>
      <family val="2"/>
    </font>
    <font>
      <b/>
      <sz val="10"/>
      <color rgb="FF3370FF"/>
      <name val="Calibri"/>
      <family val="2"/>
    </font>
    <font>
      <b/>
      <sz val="18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.45"/>
      <color rgb="FF000000"/>
      <name val="Calibri"/>
      <family val="2"/>
    </font>
    <font>
      <b/>
      <sz val="10"/>
      <color rgb="FF000000"/>
      <name val="Calibri"/>
      <family val="2"/>
    </font>
    <font>
      <b/>
      <sz val="10.45"/>
      <color rgb="FF000000"/>
      <name val="Calibri"/>
      <family val="2"/>
    </font>
    <font>
      <b/>
      <sz val="10"/>
      <color rgb="FF000000"/>
      <name val="Calibri"/>
      <family val="2"/>
    </font>
    <font>
      <b/>
      <sz val="10.45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8"/>
      <color rgb="FF000000"/>
      <name val="Calibri"/>
      <family val="2"/>
    </font>
    <font>
      <b/>
      <sz val="18"/>
      <color rgb="FF000000"/>
      <name val="Calibri"/>
      <family val="2"/>
    </font>
    <font>
      <sz val="12"/>
      <color rgb="FFF54A45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54A45"/>
      <name val="Calibri"/>
      <family val="2"/>
    </font>
    <font>
      <sz val="12"/>
      <color rgb="FFFF0000"/>
      <name val="Calibri"/>
      <family val="2"/>
    </font>
    <font>
      <sz val="10"/>
      <color rgb="FFF54A45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9"/>
      <name val="等线"/>
      <family val="3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C8C8C8"/>
      </patternFill>
    </fill>
    <fill>
      <patternFill patternType="solid">
        <fgColor rgb="FFFFD966"/>
      </patternFill>
    </fill>
    <fill>
      <patternFill patternType="solid">
        <fgColor rgb="FFFFD966"/>
      </patternFill>
    </fill>
    <fill>
      <patternFill patternType="solid">
        <fgColor rgb="FFD9F5D6"/>
      </patternFill>
    </fill>
    <fill>
      <patternFill patternType="solid">
        <fgColor rgb="FFBACEFD"/>
      </patternFill>
    </fill>
    <fill>
      <patternFill patternType="solid">
        <fgColor rgb="FFFFC60A"/>
      </patternFill>
    </fill>
    <fill>
      <patternFill patternType="solid">
        <fgColor rgb="FF6E92C8"/>
      </patternFill>
    </fill>
    <fill>
      <patternFill patternType="solid">
        <fgColor rgb="FFFFFF99"/>
      </patternFill>
    </fill>
    <fill>
      <patternFill patternType="solid">
        <fgColor rgb="FFFFFF99"/>
      </patternFill>
    </fill>
    <fill>
      <patternFill patternType="solid">
        <fgColor rgb="FFFFF258"/>
      </patternFill>
    </fill>
    <fill>
      <patternFill patternType="solid">
        <fgColor rgb="FFFFFF99"/>
      </patternFill>
    </fill>
    <fill>
      <patternFill patternType="solid">
        <fgColor rgb="FFFAD355"/>
      </patternFill>
    </fill>
    <fill>
      <patternFill patternType="solid">
        <fgColor rgb="FFBACEFD"/>
      </patternFill>
    </fill>
    <fill>
      <patternFill patternType="solid">
        <fgColor rgb="FF00B0F0"/>
      </patternFill>
    </fill>
    <fill>
      <patternFill patternType="solid">
        <fgColor rgb="FFC8C8C8"/>
      </patternFill>
    </fill>
    <fill>
      <patternFill patternType="solid">
        <fgColor rgb="FF00B0F0"/>
      </patternFill>
    </fill>
    <fill>
      <patternFill patternType="solid">
        <fgColor rgb="FFFFFF99"/>
      </patternFill>
    </fill>
    <fill>
      <patternFill patternType="solid">
        <fgColor rgb="FF00B0F0"/>
      </patternFill>
    </fill>
    <fill>
      <patternFill patternType="solid">
        <fgColor rgb="FF6E92C8"/>
      </patternFill>
    </fill>
    <fill>
      <patternFill patternType="solid">
        <fgColor rgb="FFFFF258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DEE0E3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EEBF6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133C9A"/>
      </patternFill>
    </fill>
  </fills>
  <borders count="7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7F7F7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7F7F7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000000"/>
      </right>
      <top style="thin">
        <color rgb="FFBFBFBF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7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58" fontId="3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14" fontId="6" fillId="0" borderId="6" xfId="0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58" fontId="8" fillId="0" borderId="8" xfId="0" applyNumberFormat="1" applyFont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21" fillId="14" borderId="21" xfId="0" applyFont="1" applyFill="1" applyBorder="1" applyAlignment="1">
      <alignment horizontal="center" vertical="center"/>
    </xf>
    <xf numFmtId="0" fontId="22" fillId="0" borderId="22" xfId="0" applyFont="1" applyBorder="1" applyAlignment="1">
      <alignment vertical="center"/>
    </xf>
    <xf numFmtId="0" fontId="23" fillId="0" borderId="23" xfId="0" applyFont="1" applyBorder="1" applyAlignment="1">
      <alignment horizontal="left" vertical="center"/>
    </xf>
    <xf numFmtId="0" fontId="24" fillId="0" borderId="24" xfId="0" applyFont="1" applyBorder="1" applyAlignment="1">
      <alignment horizontal="center" vertical="top"/>
    </xf>
    <xf numFmtId="0" fontId="25" fillId="0" borderId="25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left" vertical="center"/>
    </xf>
    <xf numFmtId="0" fontId="28" fillId="0" borderId="28" xfId="0" applyFont="1" applyBorder="1" applyAlignment="1">
      <alignment vertical="center"/>
    </xf>
    <xf numFmtId="0" fontId="29" fillId="0" borderId="29" xfId="0" applyFont="1" applyBorder="1" applyAlignment="1">
      <alignment horizontal="left" vertical="center"/>
    </xf>
    <xf numFmtId="0" fontId="30" fillId="15" borderId="30" xfId="0" applyFont="1" applyFill="1" applyBorder="1" applyAlignment="1">
      <alignment horizontal="center" vertical="center"/>
    </xf>
    <xf numFmtId="0" fontId="31" fillId="16" borderId="31" xfId="0" applyFont="1" applyFill="1" applyBorder="1" applyAlignment="1">
      <alignment horizontal="center" vertical="center"/>
    </xf>
    <xf numFmtId="0" fontId="32" fillId="17" borderId="32" xfId="0" applyFont="1" applyFill="1" applyBorder="1" applyAlignment="1">
      <alignment horizontal="center" vertical="center"/>
    </xf>
    <xf numFmtId="0" fontId="34" fillId="19" borderId="34" xfId="0" applyFont="1" applyFill="1" applyBorder="1" applyAlignment="1">
      <alignment horizontal="center" vertical="center"/>
    </xf>
    <xf numFmtId="0" fontId="36" fillId="21" borderId="36" xfId="0" applyFont="1" applyFill="1" applyBorder="1" applyAlignment="1">
      <alignment horizontal="center" vertical="center"/>
    </xf>
    <xf numFmtId="0" fontId="37" fillId="0" borderId="37" xfId="0" applyFont="1" applyBorder="1" applyAlignment="1">
      <alignment horizontal="left" vertical="center"/>
    </xf>
    <xf numFmtId="58" fontId="39" fillId="23" borderId="39" xfId="0" applyNumberFormat="1" applyFont="1" applyFill="1" applyBorder="1" applyAlignment="1">
      <alignment horizontal="center" vertical="center"/>
    </xf>
    <xf numFmtId="0" fontId="40" fillId="0" borderId="40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9" fontId="42" fillId="0" borderId="42" xfId="0" applyNumberFormat="1" applyFont="1" applyBorder="1" applyAlignment="1">
      <alignment horizontal="center" vertical="center"/>
    </xf>
    <xf numFmtId="0" fontId="43" fillId="24" borderId="43" xfId="0" applyFont="1" applyFill="1" applyBorder="1" applyAlignment="1">
      <alignment horizontal="center" vertical="center"/>
    </xf>
    <xf numFmtId="9" fontId="44" fillId="25" borderId="44" xfId="0" applyNumberFormat="1" applyFont="1" applyFill="1" applyBorder="1" applyAlignment="1">
      <alignment horizontal="center" vertical="center"/>
    </xf>
    <xf numFmtId="0" fontId="45" fillId="26" borderId="45" xfId="0" applyFont="1" applyFill="1" applyBorder="1" applyAlignment="1">
      <alignment horizontal="center" vertical="center"/>
    </xf>
    <xf numFmtId="0" fontId="46" fillId="27" borderId="46" xfId="0" applyFont="1" applyFill="1" applyBorder="1" applyAlignment="1">
      <alignment horizontal="center" vertical="center"/>
    </xf>
    <xf numFmtId="9" fontId="47" fillId="28" borderId="47" xfId="0" applyNumberFormat="1" applyFont="1" applyFill="1" applyBorder="1" applyAlignment="1">
      <alignment horizontal="center" vertical="center"/>
    </xf>
    <xf numFmtId="0" fontId="48" fillId="29" borderId="48" xfId="0" applyFont="1" applyFill="1" applyBorder="1" applyAlignment="1">
      <alignment horizontal="center" vertical="center"/>
    </xf>
    <xf numFmtId="0" fontId="50" fillId="31" borderId="50" xfId="0" applyFont="1" applyFill="1" applyBorder="1" applyAlignment="1">
      <alignment horizontal="center" vertical="center"/>
    </xf>
    <xf numFmtId="0" fontId="51" fillId="0" borderId="51" xfId="0" applyFont="1" applyBorder="1" applyAlignment="1">
      <alignment vertical="center"/>
    </xf>
    <xf numFmtId="0" fontId="52" fillId="0" borderId="52" xfId="0" applyFont="1" applyBorder="1" applyAlignment="1">
      <alignment vertical="center"/>
    </xf>
    <xf numFmtId="0" fontId="53" fillId="0" borderId="53" xfId="0" applyFont="1" applyBorder="1" applyAlignment="1">
      <alignment vertical="center"/>
    </xf>
    <xf numFmtId="0" fontId="54" fillId="32" borderId="54" xfId="0" applyFont="1" applyFill="1" applyBorder="1" applyAlignment="1">
      <alignment horizontal="left" vertical="center"/>
    </xf>
    <xf numFmtId="0" fontId="55" fillId="33" borderId="55" xfId="0" applyFont="1" applyFill="1" applyBorder="1" applyAlignment="1">
      <alignment horizontal="center" vertical="center"/>
    </xf>
    <xf numFmtId="49" fontId="56" fillId="0" borderId="56" xfId="0" applyNumberFormat="1" applyFont="1" applyBorder="1" applyAlignment="1">
      <alignment vertical="center"/>
    </xf>
    <xf numFmtId="0" fontId="57" fillId="0" borderId="57" xfId="0" applyFont="1" applyBorder="1" applyAlignment="1">
      <alignment horizontal="left" vertical="center"/>
    </xf>
    <xf numFmtId="0" fontId="58" fillId="0" borderId="58" xfId="0" applyFont="1" applyBorder="1" applyAlignment="1">
      <alignment vertical="center"/>
    </xf>
    <xf numFmtId="14" fontId="59" fillId="34" borderId="59" xfId="0" applyNumberFormat="1" applyFont="1" applyFill="1" applyBorder="1" applyAlignment="1">
      <alignment horizontal="center" vertical="center"/>
    </xf>
    <xf numFmtId="0" fontId="60" fillId="35" borderId="60" xfId="0" applyFont="1" applyFill="1" applyBorder="1" applyAlignment="1">
      <alignment horizontal="center" vertical="center"/>
    </xf>
    <xf numFmtId="0" fontId="61" fillId="36" borderId="61" xfId="0" applyFont="1" applyFill="1" applyBorder="1" applyAlignment="1">
      <alignment horizontal="center" vertical="center"/>
    </xf>
    <xf numFmtId="0" fontId="62" fillId="37" borderId="62" xfId="0" applyFont="1" applyFill="1" applyBorder="1" applyAlignment="1">
      <alignment horizontal="left" vertical="center"/>
    </xf>
    <xf numFmtId="0" fontId="63" fillId="0" borderId="63" xfId="0" applyFont="1" applyBorder="1" applyAlignment="1">
      <alignment vertical="center"/>
    </xf>
    <xf numFmtId="0" fontId="64" fillId="0" borderId="64" xfId="0" applyFont="1" applyBorder="1" applyAlignment="1">
      <alignment horizontal="center" vertical="center"/>
    </xf>
    <xf numFmtId="0" fontId="65" fillId="0" borderId="65" xfId="0" applyFont="1" applyBorder="1"/>
    <xf numFmtId="0" fontId="66" fillId="38" borderId="66" xfId="0" applyFont="1" applyFill="1" applyBorder="1"/>
    <xf numFmtId="0" fontId="67" fillId="39" borderId="67" xfId="0" applyFont="1" applyFill="1" applyBorder="1" applyAlignment="1">
      <alignment horizontal="center" vertical="center"/>
    </xf>
    <xf numFmtId="0" fontId="68" fillId="40" borderId="68" xfId="0" applyFont="1" applyFill="1" applyBorder="1" applyAlignment="1">
      <alignment horizontal="center" vertical="center"/>
    </xf>
    <xf numFmtId="0" fontId="69" fillId="41" borderId="69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20" fillId="13" borderId="20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33" fillId="18" borderId="3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9" fillId="12" borderId="19" xfId="0" applyFont="1" applyFill="1" applyBorder="1" applyAlignment="1">
      <alignment horizontal="center" vertical="center"/>
    </xf>
    <xf numFmtId="0" fontId="21" fillId="14" borderId="21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35" fillId="20" borderId="35" xfId="0" applyFont="1" applyFill="1" applyBorder="1" applyAlignment="1">
      <alignment horizontal="left" vertical="center"/>
    </xf>
    <xf numFmtId="0" fontId="15" fillId="8" borderId="15" xfId="0" applyFont="1" applyFill="1" applyBorder="1" applyAlignment="1">
      <alignment horizontal="center" vertical="center"/>
    </xf>
    <xf numFmtId="0" fontId="38" fillId="22" borderId="38" xfId="0" applyFont="1" applyFill="1" applyBorder="1" applyAlignment="1">
      <alignment horizontal="center" vertical="center"/>
    </xf>
    <xf numFmtId="0" fontId="48" fillId="29" borderId="48" xfId="0" applyFont="1" applyFill="1" applyBorder="1" applyAlignment="1">
      <alignment horizontal="center" vertical="center"/>
    </xf>
    <xf numFmtId="0" fontId="49" fillId="30" borderId="49" xfId="0" applyFont="1" applyFill="1" applyBorder="1" applyAlignment="1">
      <alignment horizontal="center" vertical="center"/>
    </xf>
    <xf numFmtId="0" fontId="40" fillId="0" borderId="40" xfId="0" applyFont="1" applyBorder="1" applyAlignment="1">
      <alignment horizontal="center" vertical="center"/>
    </xf>
    <xf numFmtId="0" fontId="67" fillId="39" borderId="67" xfId="0" applyFont="1" applyFill="1" applyBorder="1" applyAlignment="1">
      <alignment horizontal="center" vertical="center"/>
    </xf>
  </cellXfs>
  <cellStyles count="1">
    <cellStyle name="Normal" xfId="0" builtinId="0"/>
  </cellStyles>
  <dxfs count="101"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A5A5A5"/>
        </patternFill>
      </fill>
    </dxf>
    <dxf>
      <font>
        <b/>
        <sz val="11"/>
        <color rgb="FFFF0000"/>
        <name val="Calibri"/>
        <family val="2"/>
      </font>
    </dxf>
    <dxf>
      <font>
        <b/>
        <sz val="11"/>
        <color rgb="FFFF0000"/>
        <name val="Calibri"/>
        <family val="2"/>
      </font>
    </dxf>
    <dxf>
      <font>
        <b/>
        <sz val="11"/>
        <color rgb="FFFF0000"/>
        <name val="Calibri"/>
        <family val="2"/>
      </font>
    </dxf>
    <dxf>
      <font>
        <b/>
        <sz val="11"/>
        <color rgb="FFFF0000"/>
        <name val="Calibri"/>
        <family val="2"/>
      </font>
    </dxf>
    <dxf>
      <fill>
        <patternFill patternType="solid">
          <fgColor indexed="64"/>
          <bgColor rgb="FFA5A5A5"/>
        </patternFill>
      </fill>
    </dxf>
    <dxf>
      <font>
        <b/>
        <sz val="11"/>
        <color rgb="FFFF0000"/>
        <name val="Calibri"/>
        <family val="2"/>
      </font>
    </dxf>
    <dxf>
      <font>
        <b/>
        <sz val="11"/>
        <color rgb="FFFF0000"/>
        <name val="Calibri"/>
        <family val="2"/>
      </font>
    </dxf>
    <dxf>
      <font>
        <b/>
        <sz val="11"/>
        <color rgb="FFFF0000"/>
        <name val="Calibri"/>
        <family val="2"/>
      </font>
    </dxf>
    <dxf>
      <font>
        <b/>
        <sz val="11"/>
        <color rgb="FFFF0000"/>
        <name val="Calibri"/>
        <family val="2"/>
      </font>
    </dxf>
    <dxf>
      <font>
        <b/>
        <sz val="11"/>
        <color rgb="FFFF0000"/>
        <name val="Calibri"/>
        <family val="2"/>
      </font>
    </dxf>
    <dxf>
      <font>
        <b/>
        <sz val="11"/>
        <color rgb="FFFF0000"/>
        <name val="Calibri"/>
        <family val="2"/>
      </font>
    </dxf>
    <dxf>
      <font>
        <b/>
        <sz val="11"/>
        <color rgb="FFFF0000"/>
        <name val="Calibri"/>
        <family val="2"/>
      </font>
    </dxf>
    <dxf>
      <font>
        <b/>
        <sz val="11"/>
        <color rgb="FFFF0000"/>
        <name val="Calibri"/>
        <family val="2"/>
      </font>
    </dxf>
    <dxf>
      <fill>
        <patternFill patternType="solid">
          <fgColor indexed="64"/>
          <bgColor rgb="FF8F959E"/>
        </patternFill>
      </fill>
    </dxf>
    <dxf>
      <font>
        <b/>
        <sz val="11"/>
        <color rgb="FFFF0000"/>
        <name val="Calibri"/>
        <family val="2"/>
      </font>
    </dxf>
    <dxf>
      <font>
        <b/>
        <sz val="11"/>
        <color rgb="FFFF0000"/>
        <name val="Calibri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6EA4-F62E-47B5-8AEB-54463D0D51C7}">
  <dimension ref="A1:AZ262"/>
  <sheetViews>
    <sheetView showGridLines="0" tabSelected="1" workbookViewId="0">
      <pane xSplit="5" ySplit="4" topLeftCell="F128" activePane="bottomRight" state="frozen"/>
      <selection pane="topRight"/>
      <selection pane="bottomLeft"/>
      <selection pane="bottomRight" activeCell="E133" sqref="E133"/>
    </sheetView>
  </sheetViews>
  <sheetFormatPr defaultColWidth="14" defaultRowHeight="13" x14ac:dyDescent="0.3"/>
  <cols>
    <col min="1" max="1" width="4" customWidth="1"/>
    <col min="2" max="2" width="18" customWidth="1"/>
    <col min="3" max="3" width="39" customWidth="1"/>
    <col min="4" max="4" width="6" customWidth="1"/>
    <col min="5" max="5" width="44" customWidth="1"/>
    <col min="6" max="9" width="16" customWidth="1"/>
    <col min="10" max="10" width="14" hidden="1" customWidth="1"/>
    <col min="11" max="11" width="44" customWidth="1"/>
    <col min="12" max="12" width="16" customWidth="1"/>
    <col min="13" max="14" width="14" hidden="1" customWidth="1"/>
    <col min="15" max="20" width="10" hidden="1" customWidth="1"/>
    <col min="21" max="21" width="60" customWidth="1"/>
    <col min="22" max="22" width="21" customWidth="1"/>
    <col min="23" max="52" width="16" customWidth="1"/>
  </cols>
  <sheetData>
    <row r="1" spans="1:52" ht="24" customHeight="1" x14ac:dyDescent="0.3">
      <c r="A1" s="14"/>
      <c r="B1" s="14"/>
      <c r="C1" s="14"/>
      <c r="D1" s="29"/>
      <c r="E1" s="14"/>
      <c r="F1" s="14"/>
      <c r="G1" s="14"/>
      <c r="H1" s="14"/>
      <c r="I1" s="20" t="s">
        <v>17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27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</row>
    <row r="2" spans="1:52" ht="40" customHeight="1" x14ac:dyDescent="0.3">
      <c r="A2" s="14"/>
      <c r="B2" s="21" t="s">
        <v>2</v>
      </c>
      <c r="C2" s="19"/>
      <c r="D2" s="17"/>
      <c r="E2" s="19"/>
      <c r="F2" s="19"/>
      <c r="G2" s="19"/>
      <c r="H2" s="19"/>
      <c r="I2" s="20" t="s">
        <v>18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7"/>
      <c r="W2" s="17"/>
      <c r="X2" s="17"/>
      <c r="Y2" s="17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</row>
    <row r="3" spans="1:52" ht="21" customHeight="1" x14ac:dyDescent="0.3">
      <c r="A3" s="14"/>
      <c r="B3" s="60" t="s">
        <v>19</v>
      </c>
      <c r="C3" s="60" t="s">
        <v>20</v>
      </c>
      <c r="D3" s="60" t="s">
        <v>21</v>
      </c>
      <c r="E3" s="60" t="s">
        <v>22</v>
      </c>
      <c r="F3" s="69" t="s">
        <v>23</v>
      </c>
      <c r="G3" s="70" t="s">
        <v>24</v>
      </c>
      <c r="H3" s="69" t="s">
        <v>25</v>
      </c>
      <c r="I3" s="69" t="s">
        <v>26</v>
      </c>
      <c r="J3" s="58" t="s">
        <v>27</v>
      </c>
      <c r="K3" s="58" t="s">
        <v>28</v>
      </c>
      <c r="L3" s="59" t="s">
        <v>29</v>
      </c>
      <c r="M3" s="73" t="s">
        <v>30</v>
      </c>
      <c r="N3" s="73"/>
      <c r="O3" s="73"/>
      <c r="P3" s="73"/>
      <c r="Q3" s="73"/>
      <c r="R3" s="73"/>
      <c r="S3" s="73"/>
      <c r="T3" s="73"/>
      <c r="U3" s="69" t="s">
        <v>31</v>
      </c>
      <c r="V3" s="58" t="s">
        <v>32</v>
      </c>
      <c r="W3" s="58"/>
      <c r="X3" s="58"/>
      <c r="Y3" s="58"/>
      <c r="Z3" s="71" t="s">
        <v>0</v>
      </c>
      <c r="AA3" s="67" t="s">
        <v>1</v>
      </c>
      <c r="AB3" s="67"/>
      <c r="AC3" s="68"/>
      <c r="AD3" s="65" t="s">
        <v>33</v>
      </c>
      <c r="AE3" s="66"/>
      <c r="AF3" s="66"/>
      <c r="AG3" s="66"/>
      <c r="AH3" s="66"/>
      <c r="AI3" s="66"/>
      <c r="AJ3" s="66"/>
      <c r="AK3" s="66"/>
      <c r="AL3" s="66"/>
      <c r="AM3" s="66"/>
      <c r="AN3" s="65" t="s">
        <v>34</v>
      </c>
      <c r="AO3" s="66"/>
      <c r="AP3" s="66"/>
      <c r="AQ3" s="66"/>
      <c r="AR3" s="66"/>
      <c r="AS3" s="66"/>
      <c r="AT3" s="66"/>
      <c r="AU3" s="66"/>
      <c r="AV3" s="66"/>
      <c r="AW3" s="66"/>
      <c r="AX3" s="63" t="s">
        <v>35</v>
      </c>
      <c r="AY3" s="64"/>
      <c r="AZ3" s="64"/>
    </row>
    <row r="4" spans="1:52" ht="21" customHeight="1" x14ac:dyDescent="0.3">
      <c r="A4" s="27"/>
      <c r="B4" s="61"/>
      <c r="C4" s="61"/>
      <c r="D4" s="60"/>
      <c r="E4" s="61"/>
      <c r="F4" s="69"/>
      <c r="G4" s="70"/>
      <c r="H4" s="69"/>
      <c r="I4" s="69"/>
      <c r="J4" s="58"/>
      <c r="K4" s="58"/>
      <c r="L4" s="59"/>
      <c r="M4" s="11" t="s">
        <v>36</v>
      </c>
      <c r="N4" s="11" t="s">
        <v>37</v>
      </c>
      <c r="O4" s="11" t="s">
        <v>38</v>
      </c>
      <c r="P4" s="11" t="s">
        <v>39</v>
      </c>
      <c r="Q4" s="11" t="s">
        <v>40</v>
      </c>
      <c r="R4" s="11" t="s">
        <v>41</v>
      </c>
      <c r="S4" s="11" t="s">
        <v>42</v>
      </c>
      <c r="T4" s="11" t="s">
        <v>43</v>
      </c>
      <c r="U4" s="74"/>
      <c r="V4" s="10" t="s">
        <v>44</v>
      </c>
      <c r="W4" s="10" t="s">
        <v>45</v>
      </c>
      <c r="X4" s="10" t="s">
        <v>46</v>
      </c>
      <c r="Y4" s="10" t="s">
        <v>47</v>
      </c>
      <c r="Z4" s="72"/>
      <c r="AA4" s="12" t="s">
        <v>48</v>
      </c>
      <c r="AB4" s="12" t="s">
        <v>49</v>
      </c>
      <c r="AC4" s="13" t="s">
        <v>3</v>
      </c>
      <c r="AD4" s="23" t="s">
        <v>50</v>
      </c>
      <c r="AE4" s="23" t="s">
        <v>51</v>
      </c>
      <c r="AF4" s="23" t="s">
        <v>52</v>
      </c>
      <c r="AG4" s="22" t="s">
        <v>53</v>
      </c>
      <c r="AH4" s="22" t="s">
        <v>54</v>
      </c>
      <c r="AI4" s="22" t="s">
        <v>55</v>
      </c>
      <c r="AJ4" s="22" t="s">
        <v>56</v>
      </c>
      <c r="AK4" s="22" t="s">
        <v>57</v>
      </c>
      <c r="AL4" s="22" t="s">
        <v>58</v>
      </c>
      <c r="AM4" s="22" t="s">
        <v>59</v>
      </c>
      <c r="AN4" s="23" t="s">
        <v>50</v>
      </c>
      <c r="AO4" s="23" t="s">
        <v>51</v>
      </c>
      <c r="AP4" s="23" t="s">
        <v>52</v>
      </c>
      <c r="AQ4" s="9" t="s">
        <v>53</v>
      </c>
      <c r="AR4" s="9" t="s">
        <v>54</v>
      </c>
      <c r="AS4" s="9" t="s">
        <v>55</v>
      </c>
      <c r="AT4" s="9" t="s">
        <v>56</v>
      </c>
      <c r="AU4" s="9" t="s">
        <v>57</v>
      </c>
      <c r="AV4" s="9" t="s">
        <v>58</v>
      </c>
      <c r="AW4" s="9" t="s">
        <v>59</v>
      </c>
      <c r="AX4" s="25" t="s">
        <v>60</v>
      </c>
      <c r="AY4" s="24" t="s">
        <v>61</v>
      </c>
      <c r="AZ4" s="26" t="s">
        <v>47</v>
      </c>
    </row>
    <row r="5" spans="1:52" ht="19" customHeight="1" x14ac:dyDescent="0.3">
      <c r="A5" s="5"/>
      <c r="B5" s="16" t="s">
        <v>62</v>
      </c>
      <c r="C5" s="1" t="s">
        <v>62</v>
      </c>
      <c r="D5" s="1">
        <f t="shared" ref="D5:D68" si="0">ROW()-4</f>
        <v>1</v>
      </c>
      <c r="E5" s="1" t="s">
        <v>63</v>
      </c>
      <c r="F5" s="1" t="s">
        <v>62</v>
      </c>
      <c r="G5" s="1"/>
      <c r="H5" s="1" t="s">
        <v>64</v>
      </c>
      <c r="I5" s="1" t="s">
        <v>65</v>
      </c>
      <c r="J5" s="1" t="s">
        <v>66</v>
      </c>
      <c r="K5" s="1" t="s">
        <v>67</v>
      </c>
      <c r="L5" s="1" t="s">
        <v>68</v>
      </c>
      <c r="M5" s="1"/>
      <c r="N5" s="1"/>
      <c r="O5" s="1"/>
      <c r="P5" s="1"/>
      <c r="Q5" s="1"/>
      <c r="R5" s="1"/>
      <c r="S5" s="1"/>
      <c r="T5" s="1"/>
      <c r="U5" s="15" t="s">
        <v>69</v>
      </c>
      <c r="V5" s="1" t="s">
        <v>70</v>
      </c>
      <c r="W5" s="1" t="s">
        <v>71</v>
      </c>
      <c r="X5" s="1" t="s">
        <v>72</v>
      </c>
      <c r="Y5" s="1"/>
      <c r="Z5" s="1"/>
      <c r="AA5" s="1"/>
      <c r="AB5" s="1"/>
      <c r="AC5" s="1"/>
      <c r="AD5" s="1"/>
      <c r="AE5" s="1"/>
      <c r="AF5" s="2"/>
      <c r="AG5" s="2"/>
      <c r="AH5" s="2"/>
      <c r="AI5" s="2"/>
      <c r="AJ5" s="2"/>
      <c r="AK5" s="2"/>
      <c r="AL5" s="2"/>
      <c r="AM5" s="2"/>
      <c r="AN5" s="1"/>
      <c r="AO5" s="1"/>
      <c r="AP5" s="2"/>
      <c r="AQ5" s="2"/>
      <c r="AR5" s="2"/>
      <c r="AS5" s="2"/>
      <c r="AT5" s="2"/>
      <c r="AU5" s="2"/>
      <c r="AV5" s="2"/>
      <c r="AW5" s="2"/>
      <c r="AX5" s="1"/>
      <c r="AY5" s="1"/>
      <c r="AZ5" s="1"/>
    </row>
    <row r="6" spans="1:52" ht="19" customHeight="1" x14ac:dyDescent="0.3">
      <c r="A6" s="5"/>
      <c r="B6" s="62" t="s">
        <v>73</v>
      </c>
      <c r="C6" s="1"/>
      <c r="D6" s="1">
        <f t="shared" si="0"/>
        <v>2</v>
      </c>
      <c r="E6" s="1" t="s">
        <v>74</v>
      </c>
      <c r="F6" s="1" t="s">
        <v>75</v>
      </c>
      <c r="G6" s="1" t="s">
        <v>76</v>
      </c>
      <c r="H6" s="1" t="s">
        <v>64</v>
      </c>
      <c r="I6" s="1" t="s">
        <v>65</v>
      </c>
      <c r="J6" s="1" t="s">
        <v>66</v>
      </c>
      <c r="K6" s="1" t="s">
        <v>74</v>
      </c>
      <c r="L6" s="1" t="s">
        <v>77</v>
      </c>
      <c r="M6" s="1"/>
      <c r="N6" s="1"/>
      <c r="O6" s="1"/>
      <c r="P6" s="1"/>
      <c r="Q6" s="1"/>
      <c r="R6" s="1"/>
      <c r="S6" s="1"/>
      <c r="T6" s="1"/>
      <c r="U6" s="4" t="s">
        <v>78</v>
      </c>
      <c r="V6" s="1" t="s">
        <v>79</v>
      </c>
      <c r="W6" s="1" t="s">
        <v>80</v>
      </c>
      <c r="X6" s="1" t="s">
        <v>81</v>
      </c>
      <c r="Y6" s="1"/>
      <c r="Z6" s="1"/>
      <c r="AA6" s="3">
        <v>44852</v>
      </c>
      <c r="AB6" s="1"/>
      <c r="AC6" s="1"/>
      <c r="AD6" s="1"/>
      <c r="AE6" s="1"/>
      <c r="AF6" s="2"/>
      <c r="AG6" s="1">
        <v>2</v>
      </c>
      <c r="AH6" s="3">
        <f>AA6+1</f>
        <v>44853</v>
      </c>
      <c r="AI6" s="3">
        <f>AH6+AG6</f>
        <v>44855</v>
      </c>
      <c r="AJ6" s="2"/>
      <c r="AK6" s="2"/>
      <c r="AL6" s="2"/>
      <c r="AM6" s="2"/>
      <c r="AN6" s="1"/>
      <c r="AO6" s="1"/>
      <c r="AP6" s="2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9" customHeight="1" x14ac:dyDescent="0.3">
      <c r="A7" s="5"/>
      <c r="B7" s="62"/>
      <c r="C7" s="1"/>
      <c r="D7" s="1">
        <f t="shared" si="0"/>
        <v>3</v>
      </c>
      <c r="E7" s="1" t="s">
        <v>82</v>
      </c>
      <c r="F7" s="1" t="s">
        <v>75</v>
      </c>
      <c r="G7" s="1" t="s">
        <v>83</v>
      </c>
      <c r="H7" s="1" t="s">
        <v>64</v>
      </c>
      <c r="I7" s="1" t="s">
        <v>65</v>
      </c>
      <c r="J7" s="1" t="s">
        <v>66</v>
      </c>
      <c r="K7" s="1"/>
      <c r="L7" s="1" t="s">
        <v>77</v>
      </c>
      <c r="M7" s="1"/>
      <c r="N7" s="1"/>
      <c r="O7" s="1"/>
      <c r="P7" s="1"/>
      <c r="Q7" s="1"/>
      <c r="R7" s="1"/>
      <c r="S7" s="1"/>
      <c r="T7" s="1"/>
      <c r="U7" s="4" t="s">
        <v>84</v>
      </c>
      <c r="V7" s="1" t="s">
        <v>79</v>
      </c>
      <c r="W7" s="1" t="s">
        <v>80</v>
      </c>
      <c r="X7" s="1" t="s">
        <v>81</v>
      </c>
      <c r="Y7" s="1"/>
      <c r="Z7" s="1"/>
      <c r="AA7" s="3">
        <v>44858</v>
      </c>
      <c r="AB7" s="1"/>
      <c r="AC7" s="1"/>
      <c r="AD7" s="1"/>
      <c r="AE7" s="1"/>
      <c r="AF7" s="2"/>
      <c r="AG7" s="1">
        <v>3</v>
      </c>
      <c r="AH7" s="3">
        <f>AI22+1</f>
        <v>44862</v>
      </c>
      <c r="AI7" s="3">
        <f>AH7+AG7</f>
        <v>44865</v>
      </c>
      <c r="AJ7" s="2"/>
      <c r="AK7" s="2"/>
      <c r="AL7" s="2"/>
      <c r="AM7" s="2"/>
      <c r="AN7" s="1"/>
      <c r="AO7" s="1"/>
      <c r="AP7" s="2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9" customHeight="1" x14ac:dyDescent="0.3">
      <c r="A8" s="5"/>
      <c r="B8" s="62"/>
      <c r="C8" s="1"/>
      <c r="D8" s="1">
        <f t="shared" si="0"/>
        <v>4</v>
      </c>
      <c r="E8" s="1" t="s">
        <v>85</v>
      </c>
      <c r="F8" s="1" t="s">
        <v>75</v>
      </c>
      <c r="G8" s="1" t="s">
        <v>83</v>
      </c>
      <c r="H8" s="1" t="s">
        <v>64</v>
      </c>
      <c r="I8" s="1" t="s">
        <v>65</v>
      </c>
      <c r="J8" s="1" t="s">
        <v>66</v>
      </c>
      <c r="K8" s="1"/>
      <c r="L8" s="1" t="s">
        <v>77</v>
      </c>
      <c r="M8" s="1"/>
      <c r="N8" s="1"/>
      <c r="O8" s="1"/>
      <c r="P8" s="1"/>
      <c r="Q8" s="1"/>
      <c r="R8" s="1"/>
      <c r="S8" s="1"/>
      <c r="T8" s="1"/>
      <c r="U8" s="4" t="s">
        <v>86</v>
      </c>
      <c r="V8" s="1" t="s">
        <v>79</v>
      </c>
      <c r="W8" s="1" t="s">
        <v>80</v>
      </c>
      <c r="X8" s="1" t="s">
        <v>81</v>
      </c>
      <c r="Y8" s="1"/>
      <c r="Z8" s="1"/>
      <c r="AA8" s="3">
        <v>44872</v>
      </c>
      <c r="AB8" s="1"/>
      <c r="AC8" s="1"/>
      <c r="AD8" s="1"/>
      <c r="AE8" s="1"/>
      <c r="AF8" s="2"/>
      <c r="AG8" s="1">
        <v>3</v>
      </c>
      <c r="AH8" s="3">
        <f>AA8+1</f>
        <v>44873</v>
      </c>
      <c r="AI8" s="3">
        <f>AH8+AG8</f>
        <v>44876</v>
      </c>
      <c r="AJ8" s="2"/>
      <c r="AK8" s="2"/>
      <c r="AL8" s="2"/>
      <c r="AM8" s="2"/>
      <c r="AN8" s="1"/>
      <c r="AO8" s="1"/>
      <c r="AP8" s="2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9" customHeight="1" x14ac:dyDescent="0.3">
      <c r="A9" s="5"/>
      <c r="B9" s="62"/>
      <c r="C9" s="1"/>
      <c r="D9" s="1">
        <f t="shared" si="0"/>
        <v>5</v>
      </c>
      <c r="E9" s="1" t="s">
        <v>87</v>
      </c>
      <c r="F9" s="1" t="s">
        <v>75</v>
      </c>
      <c r="G9" s="1"/>
      <c r="H9" s="1"/>
      <c r="I9" s="1"/>
      <c r="J9" s="1" t="s">
        <v>66</v>
      </c>
      <c r="K9" s="1"/>
      <c r="L9" s="1" t="s">
        <v>77</v>
      </c>
      <c r="M9" s="1"/>
      <c r="N9" s="1"/>
      <c r="O9" s="1"/>
      <c r="P9" s="1"/>
      <c r="Q9" s="1"/>
      <c r="R9" s="1"/>
      <c r="S9" s="1"/>
      <c r="T9" s="1"/>
      <c r="U9" s="4"/>
      <c r="V9" s="1" t="s">
        <v>88</v>
      </c>
      <c r="W9" s="1"/>
      <c r="X9" s="1"/>
      <c r="Y9" s="1"/>
      <c r="Z9" s="1"/>
      <c r="AA9" s="1"/>
      <c r="AB9" s="1"/>
      <c r="AC9" s="1"/>
      <c r="AD9" s="1"/>
      <c r="AE9" s="1"/>
      <c r="AF9" s="2"/>
      <c r="AG9" s="2"/>
      <c r="AH9" s="2"/>
      <c r="AI9" s="2"/>
      <c r="AJ9" s="2"/>
      <c r="AK9" s="2"/>
      <c r="AL9" s="2"/>
      <c r="AM9" s="2"/>
      <c r="AN9" s="1"/>
      <c r="AO9" s="1"/>
      <c r="AP9" s="2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9" customHeight="1" x14ac:dyDescent="0.3">
      <c r="A10" s="5"/>
      <c r="B10" s="62"/>
      <c r="C10" s="1"/>
      <c r="D10" s="1">
        <f t="shared" si="0"/>
        <v>6</v>
      </c>
      <c r="E10" s="1" t="s">
        <v>89</v>
      </c>
      <c r="F10" s="1" t="s">
        <v>75</v>
      </c>
      <c r="G10" s="1" t="s">
        <v>90</v>
      </c>
      <c r="H10" s="1" t="s">
        <v>64</v>
      </c>
      <c r="I10" s="1" t="s">
        <v>65</v>
      </c>
      <c r="J10" s="1" t="s">
        <v>66</v>
      </c>
      <c r="K10" s="1"/>
      <c r="L10" s="1" t="s">
        <v>77</v>
      </c>
      <c r="M10" s="1"/>
      <c r="N10" s="1"/>
      <c r="O10" s="1"/>
      <c r="P10" s="1"/>
      <c r="Q10" s="1"/>
      <c r="R10" s="1"/>
      <c r="S10" s="1"/>
      <c r="T10" s="1"/>
      <c r="U10" s="4" t="s">
        <v>91</v>
      </c>
      <c r="V10" s="1" t="s">
        <v>79</v>
      </c>
      <c r="W10" s="1" t="s">
        <v>80</v>
      </c>
      <c r="X10" s="1" t="s">
        <v>81</v>
      </c>
      <c r="Y10" s="1"/>
      <c r="Z10" s="1"/>
      <c r="AA10" s="3">
        <v>44865</v>
      </c>
      <c r="AB10" s="1"/>
      <c r="AC10" s="1"/>
      <c r="AD10" s="1"/>
      <c r="AE10" s="1"/>
      <c r="AF10" s="2"/>
      <c r="AG10" s="1">
        <v>3</v>
      </c>
      <c r="AH10" s="3">
        <f>AA10+1</f>
        <v>44866</v>
      </c>
      <c r="AI10" s="3">
        <f>AH10+AG10</f>
        <v>44869</v>
      </c>
      <c r="AJ10" s="2"/>
      <c r="AK10" s="2"/>
      <c r="AL10" s="2"/>
      <c r="AM10" s="2"/>
      <c r="AN10" s="1"/>
      <c r="AO10" s="1"/>
      <c r="AP10" s="2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9" customHeight="1" x14ac:dyDescent="0.3">
      <c r="A11" s="5"/>
      <c r="B11" s="62"/>
      <c r="C11" s="1"/>
      <c r="D11" s="1">
        <f t="shared" si="0"/>
        <v>7</v>
      </c>
      <c r="E11" s="1" t="s">
        <v>92</v>
      </c>
      <c r="F11" s="1" t="s">
        <v>75</v>
      </c>
      <c r="G11" s="1"/>
      <c r="H11" s="1"/>
      <c r="I11" s="1"/>
      <c r="J11" s="1" t="s">
        <v>66</v>
      </c>
      <c r="K11" s="1"/>
      <c r="L11" s="1" t="s">
        <v>77</v>
      </c>
      <c r="M11" s="1"/>
      <c r="N11" s="1"/>
      <c r="O11" s="1"/>
      <c r="P11" s="1"/>
      <c r="Q11" s="1"/>
      <c r="R11" s="1"/>
      <c r="S11" s="1"/>
      <c r="T11" s="1"/>
      <c r="U11" s="4"/>
      <c r="V11" s="1" t="s">
        <v>79</v>
      </c>
      <c r="W11" s="1" t="s">
        <v>80</v>
      </c>
      <c r="X11" s="1" t="s">
        <v>81</v>
      </c>
      <c r="Y11" s="1"/>
      <c r="Z11" s="1"/>
      <c r="AA11" s="1"/>
      <c r="AB11" s="1"/>
      <c r="AC11" s="1"/>
      <c r="AD11" s="1"/>
      <c r="AE11" s="1"/>
      <c r="AF11" s="2"/>
      <c r="AG11" s="2"/>
      <c r="AH11" s="2"/>
      <c r="AI11" s="2"/>
      <c r="AJ11" s="2"/>
      <c r="AK11" s="2"/>
      <c r="AL11" s="2"/>
      <c r="AM11" s="2"/>
      <c r="AN11" s="1"/>
      <c r="AO11" s="1"/>
      <c r="AP11" s="2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9" customHeight="1" x14ac:dyDescent="0.3">
      <c r="A12" s="5"/>
      <c r="B12" s="62"/>
      <c r="C12" s="1"/>
      <c r="D12" s="1">
        <f t="shared" si="0"/>
        <v>8</v>
      </c>
      <c r="E12" s="1" t="s">
        <v>93</v>
      </c>
      <c r="F12" s="1" t="s">
        <v>75</v>
      </c>
      <c r="G12" s="1" t="s">
        <v>83</v>
      </c>
      <c r="H12" s="1" t="s">
        <v>64</v>
      </c>
      <c r="I12" s="1" t="s">
        <v>65</v>
      </c>
      <c r="J12" s="1" t="s">
        <v>66</v>
      </c>
      <c r="K12" s="1"/>
      <c r="L12" s="1" t="s">
        <v>77</v>
      </c>
      <c r="M12" s="1"/>
      <c r="N12" s="1"/>
      <c r="O12" s="1"/>
      <c r="P12" s="1"/>
      <c r="Q12" s="1"/>
      <c r="R12" s="1"/>
      <c r="S12" s="1"/>
      <c r="T12" s="1"/>
      <c r="U12" s="4" t="s">
        <v>94</v>
      </c>
      <c r="V12" s="1" t="s">
        <v>79</v>
      </c>
      <c r="W12" s="1" t="s">
        <v>80</v>
      </c>
      <c r="X12" s="1" t="s">
        <v>81</v>
      </c>
      <c r="Y12" s="1"/>
      <c r="Z12" s="1"/>
      <c r="AA12" s="3">
        <v>44872</v>
      </c>
      <c r="AB12" s="1"/>
      <c r="AC12" s="1"/>
      <c r="AD12" s="1"/>
      <c r="AE12" s="1"/>
      <c r="AF12" s="2"/>
      <c r="AG12" s="1">
        <v>3</v>
      </c>
      <c r="AH12" s="3">
        <f>AA12+1</f>
        <v>44873</v>
      </c>
      <c r="AI12" s="3">
        <f t="shared" ref="AI12:AI17" si="1">AH12+AG12</f>
        <v>44876</v>
      </c>
      <c r="AJ12" s="2"/>
      <c r="AK12" s="2"/>
      <c r="AL12" s="2"/>
      <c r="AM12" s="2"/>
      <c r="AN12" s="1"/>
      <c r="AO12" s="1"/>
      <c r="AP12" s="2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9" customHeight="1" x14ac:dyDescent="0.3">
      <c r="A13" s="5"/>
      <c r="B13" s="62"/>
      <c r="C13" s="1"/>
      <c r="D13" s="1">
        <f t="shared" si="0"/>
        <v>9</v>
      </c>
      <c r="E13" s="1" t="s">
        <v>95</v>
      </c>
      <c r="F13" s="1" t="s">
        <v>75</v>
      </c>
      <c r="G13" s="1" t="s">
        <v>90</v>
      </c>
      <c r="H13" s="1" t="s">
        <v>64</v>
      </c>
      <c r="I13" s="1" t="s">
        <v>65</v>
      </c>
      <c r="J13" s="1" t="s">
        <v>66</v>
      </c>
      <c r="K13" s="1"/>
      <c r="L13" s="1" t="s">
        <v>77</v>
      </c>
      <c r="M13" s="1"/>
      <c r="N13" s="1"/>
      <c r="O13" s="1"/>
      <c r="P13" s="1"/>
      <c r="Q13" s="1"/>
      <c r="R13" s="1"/>
      <c r="S13" s="1"/>
      <c r="T13" s="1"/>
      <c r="U13" s="4" t="s">
        <v>96</v>
      </c>
      <c r="V13" s="1" t="s">
        <v>79</v>
      </c>
      <c r="W13" s="1" t="s">
        <v>80</v>
      </c>
      <c r="X13" s="1" t="s">
        <v>81</v>
      </c>
      <c r="Y13" s="1"/>
      <c r="Z13" s="1"/>
      <c r="AA13" s="3">
        <v>44865</v>
      </c>
      <c r="AB13" s="1"/>
      <c r="AC13" s="1"/>
      <c r="AD13" s="1"/>
      <c r="AE13" s="1"/>
      <c r="AF13" s="2"/>
      <c r="AG13" s="1">
        <v>3</v>
      </c>
      <c r="AH13" s="3">
        <f>AA13+1</f>
        <v>44866</v>
      </c>
      <c r="AI13" s="3">
        <f t="shared" si="1"/>
        <v>44869</v>
      </c>
      <c r="AJ13" s="2"/>
      <c r="AK13" s="2"/>
      <c r="AL13" s="2"/>
      <c r="AM13" s="2"/>
      <c r="AN13" s="1"/>
      <c r="AO13" s="1"/>
      <c r="AP13" s="2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9" customHeight="1" x14ac:dyDescent="0.3">
      <c r="A14" s="5"/>
      <c r="B14" s="62"/>
      <c r="C14" s="1"/>
      <c r="D14" s="1">
        <f t="shared" si="0"/>
        <v>10</v>
      </c>
      <c r="E14" s="1" t="s">
        <v>97</v>
      </c>
      <c r="F14" s="1" t="s">
        <v>75</v>
      </c>
      <c r="G14" s="1" t="s">
        <v>83</v>
      </c>
      <c r="H14" s="1" t="s">
        <v>64</v>
      </c>
      <c r="I14" s="1" t="s">
        <v>65</v>
      </c>
      <c r="J14" s="1" t="s">
        <v>66</v>
      </c>
      <c r="K14" s="1" t="s">
        <v>97</v>
      </c>
      <c r="L14" s="1" t="s">
        <v>77</v>
      </c>
      <c r="M14" s="1"/>
      <c r="N14" s="1"/>
      <c r="O14" s="1"/>
      <c r="P14" s="1"/>
      <c r="Q14" s="1"/>
      <c r="R14" s="1"/>
      <c r="S14" s="1"/>
      <c r="T14" s="1"/>
      <c r="U14" s="4" t="s">
        <v>98</v>
      </c>
      <c r="V14" s="1" t="s">
        <v>79</v>
      </c>
      <c r="W14" s="1" t="s">
        <v>80</v>
      </c>
      <c r="X14" s="1" t="s">
        <v>81</v>
      </c>
      <c r="Y14" s="1" t="s">
        <v>47</v>
      </c>
      <c r="Z14" s="1"/>
      <c r="AA14" s="1"/>
      <c r="AB14" s="1"/>
      <c r="AC14" s="1"/>
      <c r="AD14" s="1"/>
      <c r="AE14" s="1"/>
      <c r="AF14" s="2"/>
      <c r="AG14" s="1">
        <v>3</v>
      </c>
      <c r="AH14" s="3">
        <f>AA14+1</f>
        <v>1</v>
      </c>
      <c r="AI14" s="28">
        <f t="shared" si="1"/>
        <v>4</v>
      </c>
      <c r="AJ14" s="2"/>
      <c r="AK14" s="2"/>
      <c r="AL14" s="2"/>
      <c r="AM14" s="2"/>
      <c r="AN14" s="1"/>
      <c r="AO14" s="1"/>
      <c r="AP14" s="2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9" customHeight="1" x14ac:dyDescent="0.3">
      <c r="A15" s="5"/>
      <c r="B15" s="62"/>
      <c r="C15" s="1"/>
      <c r="D15" s="1">
        <f t="shared" si="0"/>
        <v>11</v>
      </c>
      <c r="E15" s="1" t="s">
        <v>99</v>
      </c>
      <c r="F15" s="1" t="s">
        <v>75</v>
      </c>
      <c r="G15" s="1" t="s">
        <v>90</v>
      </c>
      <c r="H15" s="1" t="s">
        <v>64</v>
      </c>
      <c r="I15" s="1" t="s">
        <v>65</v>
      </c>
      <c r="J15" s="1" t="s">
        <v>66</v>
      </c>
      <c r="K15" s="1"/>
      <c r="L15" s="1" t="s">
        <v>77</v>
      </c>
      <c r="M15" s="1"/>
      <c r="N15" s="1"/>
      <c r="O15" s="1"/>
      <c r="P15" s="1"/>
      <c r="Q15" s="1"/>
      <c r="R15" s="1"/>
      <c r="S15" s="1"/>
      <c r="T15" s="1"/>
      <c r="U15" s="4" t="s">
        <v>100</v>
      </c>
      <c r="V15" s="1" t="s">
        <v>79</v>
      </c>
      <c r="W15" s="1" t="s">
        <v>80</v>
      </c>
      <c r="X15" s="1" t="s">
        <v>81</v>
      </c>
      <c r="Y15" s="1"/>
      <c r="Z15" s="1"/>
      <c r="AA15" s="3">
        <v>44865</v>
      </c>
      <c r="AB15" s="1"/>
      <c r="AC15" s="1"/>
      <c r="AD15" s="1"/>
      <c r="AE15" s="1"/>
      <c r="AF15" s="2"/>
      <c r="AG15" s="1">
        <v>3</v>
      </c>
      <c r="AH15" s="3">
        <f>AA15+1</f>
        <v>44866</v>
      </c>
      <c r="AI15" s="3">
        <f t="shared" si="1"/>
        <v>44869</v>
      </c>
      <c r="AJ15" s="2"/>
      <c r="AK15" s="2"/>
      <c r="AL15" s="2"/>
      <c r="AM15" s="2"/>
      <c r="AN15" s="1"/>
      <c r="AO15" s="1"/>
      <c r="AP15" s="2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9" customHeight="1" x14ac:dyDescent="0.3">
      <c r="A16" s="5"/>
      <c r="B16" s="62"/>
      <c r="C16" s="1"/>
      <c r="D16" s="1">
        <f t="shared" si="0"/>
        <v>12</v>
      </c>
      <c r="E16" s="1" t="s">
        <v>101</v>
      </c>
      <c r="F16" s="1" t="s">
        <v>75</v>
      </c>
      <c r="G16" s="1" t="s">
        <v>83</v>
      </c>
      <c r="H16" s="1" t="s">
        <v>64</v>
      </c>
      <c r="I16" s="1" t="s">
        <v>65</v>
      </c>
      <c r="J16" s="1" t="s">
        <v>66</v>
      </c>
      <c r="K16" s="1"/>
      <c r="L16" s="1" t="s">
        <v>77</v>
      </c>
      <c r="M16" s="1"/>
      <c r="N16" s="1"/>
      <c r="O16" s="1"/>
      <c r="P16" s="1"/>
      <c r="Q16" s="1"/>
      <c r="R16" s="1"/>
      <c r="S16" s="1"/>
      <c r="T16" s="1"/>
      <c r="U16" s="4" t="s">
        <v>102</v>
      </c>
      <c r="V16" s="1" t="s">
        <v>79</v>
      </c>
      <c r="W16" s="1" t="s">
        <v>80</v>
      </c>
      <c r="X16" s="1" t="s">
        <v>81</v>
      </c>
      <c r="Y16" s="1"/>
      <c r="Z16" s="1"/>
      <c r="AA16" s="3">
        <v>44858</v>
      </c>
      <c r="AB16" s="1"/>
      <c r="AC16" s="1"/>
      <c r="AD16" s="1"/>
      <c r="AE16" s="1"/>
      <c r="AF16" s="2"/>
      <c r="AG16" s="1">
        <v>3</v>
      </c>
      <c r="AH16" s="3">
        <f>AI7+1</f>
        <v>44866</v>
      </c>
      <c r="AI16" s="3">
        <f t="shared" si="1"/>
        <v>44869</v>
      </c>
      <c r="AJ16" s="2"/>
      <c r="AK16" s="2"/>
      <c r="AL16" s="2"/>
      <c r="AM16" s="2"/>
      <c r="AN16" s="1"/>
      <c r="AO16" s="1"/>
      <c r="AP16" s="2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9" customHeight="1" x14ac:dyDescent="0.3">
      <c r="A17" s="5"/>
      <c r="B17" s="62"/>
      <c r="C17" s="1"/>
      <c r="D17" s="1">
        <f t="shared" si="0"/>
        <v>13</v>
      </c>
      <c r="E17" s="1" t="s">
        <v>103</v>
      </c>
      <c r="F17" s="1" t="s">
        <v>75</v>
      </c>
      <c r="G17" s="1" t="s">
        <v>83</v>
      </c>
      <c r="H17" s="1" t="s">
        <v>64</v>
      </c>
      <c r="I17" s="1" t="s">
        <v>65</v>
      </c>
      <c r="J17" s="1" t="s">
        <v>66</v>
      </c>
      <c r="K17" s="1"/>
      <c r="L17" s="1" t="s">
        <v>77</v>
      </c>
      <c r="M17" s="1"/>
      <c r="N17" s="1"/>
      <c r="O17" s="1"/>
      <c r="P17" s="1"/>
      <c r="Q17" s="1"/>
      <c r="R17" s="1"/>
      <c r="S17" s="1"/>
      <c r="T17" s="1"/>
      <c r="U17" s="4" t="s">
        <v>104</v>
      </c>
      <c r="V17" s="1" t="s">
        <v>79</v>
      </c>
      <c r="W17" s="1" t="s">
        <v>80</v>
      </c>
      <c r="X17" s="1" t="s">
        <v>81</v>
      </c>
      <c r="Y17" s="1"/>
      <c r="Z17" s="1"/>
      <c r="AA17" s="3">
        <v>44872</v>
      </c>
      <c r="AB17" s="1"/>
      <c r="AC17" s="1"/>
      <c r="AD17" s="1"/>
      <c r="AE17" s="1"/>
      <c r="AF17" s="2"/>
      <c r="AG17" s="1">
        <v>3</v>
      </c>
      <c r="AH17" s="3">
        <f>AA17+1</f>
        <v>44873</v>
      </c>
      <c r="AI17" s="3">
        <f t="shared" si="1"/>
        <v>44876</v>
      </c>
      <c r="AJ17" s="2"/>
      <c r="AK17" s="2"/>
      <c r="AL17" s="2"/>
      <c r="AM17" s="2"/>
      <c r="AN17" s="1"/>
      <c r="AO17" s="1"/>
      <c r="AP17" s="2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9" customHeight="1" x14ac:dyDescent="0.3">
      <c r="A18" s="5"/>
      <c r="B18" s="62"/>
      <c r="C18" s="1"/>
      <c r="D18" s="1">
        <f t="shared" si="0"/>
        <v>14</v>
      </c>
      <c r="E18" s="1" t="s">
        <v>105</v>
      </c>
      <c r="F18" s="1" t="s">
        <v>75</v>
      </c>
      <c r="G18" s="1"/>
      <c r="H18" s="1"/>
      <c r="I18" s="1"/>
      <c r="J18" s="1" t="s">
        <v>66</v>
      </c>
      <c r="K18" s="1"/>
      <c r="L18" s="1" t="s">
        <v>77</v>
      </c>
      <c r="M18" s="1"/>
      <c r="N18" s="1"/>
      <c r="O18" s="1"/>
      <c r="P18" s="1"/>
      <c r="Q18" s="1"/>
      <c r="R18" s="1"/>
      <c r="S18" s="1"/>
      <c r="T18" s="1"/>
      <c r="U18" s="4" t="s">
        <v>106</v>
      </c>
      <c r="V18" s="1" t="s">
        <v>79</v>
      </c>
      <c r="W18" s="1" t="s">
        <v>80</v>
      </c>
      <c r="X18" s="1" t="s">
        <v>81</v>
      </c>
      <c r="Y18" s="1"/>
      <c r="Z18" s="1"/>
      <c r="AA18" s="1"/>
      <c r="AB18" s="1"/>
      <c r="AC18" s="1"/>
      <c r="AD18" s="1"/>
      <c r="AE18" s="1"/>
      <c r="AF18" s="2"/>
      <c r="AG18" s="2"/>
      <c r="AH18" s="2"/>
      <c r="AI18" s="2"/>
      <c r="AJ18" s="2"/>
      <c r="AK18" s="2"/>
      <c r="AL18" s="2"/>
      <c r="AM18" s="2"/>
      <c r="AN18" s="1"/>
      <c r="AO18" s="1"/>
      <c r="AP18" s="2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9" customHeight="1" x14ac:dyDescent="0.3">
      <c r="A19" s="5"/>
      <c r="B19" s="62"/>
      <c r="C19" s="1"/>
      <c r="D19" s="1">
        <f t="shared" si="0"/>
        <v>15</v>
      </c>
      <c r="E19" s="1" t="s">
        <v>107</v>
      </c>
      <c r="F19" s="1" t="s">
        <v>75</v>
      </c>
      <c r="G19" s="1" t="s">
        <v>83</v>
      </c>
      <c r="H19" s="1" t="s">
        <v>64</v>
      </c>
      <c r="I19" s="1" t="s">
        <v>65</v>
      </c>
      <c r="J19" s="1" t="s">
        <v>66</v>
      </c>
      <c r="K19" s="1"/>
      <c r="L19" s="1" t="s">
        <v>77</v>
      </c>
      <c r="M19" s="1"/>
      <c r="N19" s="1"/>
      <c r="O19" s="1"/>
      <c r="P19" s="1"/>
      <c r="Q19" s="1"/>
      <c r="R19" s="1"/>
      <c r="S19" s="1"/>
      <c r="T19" s="1"/>
      <c r="U19" s="4" t="s">
        <v>108</v>
      </c>
      <c r="V19" s="1" t="s">
        <v>79</v>
      </c>
      <c r="W19" s="1" t="s">
        <v>80</v>
      </c>
      <c r="X19" s="1" t="s">
        <v>81</v>
      </c>
      <c r="Y19" s="1"/>
      <c r="Z19" s="1"/>
      <c r="AA19" s="3">
        <v>44858</v>
      </c>
      <c r="AB19" s="1"/>
      <c r="AC19" s="1"/>
      <c r="AD19" s="1"/>
      <c r="AE19" s="1"/>
      <c r="AF19" s="2"/>
      <c r="AG19" s="1">
        <v>3</v>
      </c>
      <c r="AH19" s="3">
        <f>AI16+1</f>
        <v>44870</v>
      </c>
      <c r="AI19" s="3">
        <f>AH19+AG19</f>
        <v>44873</v>
      </c>
      <c r="AJ19" s="2"/>
      <c r="AK19" s="2"/>
      <c r="AL19" s="2"/>
      <c r="AM19" s="2"/>
      <c r="AN19" s="1"/>
      <c r="AO19" s="1"/>
      <c r="AP19" s="2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9" customHeight="1" x14ac:dyDescent="0.3">
      <c r="A20" s="5"/>
      <c r="B20" s="62"/>
      <c r="C20" s="1"/>
      <c r="D20" s="1">
        <f t="shared" si="0"/>
        <v>16</v>
      </c>
      <c r="E20" s="1" t="s">
        <v>109</v>
      </c>
      <c r="F20" s="1" t="s">
        <v>75</v>
      </c>
      <c r="G20" s="1"/>
      <c r="H20" s="1"/>
      <c r="I20" s="1"/>
      <c r="J20" s="1" t="s">
        <v>66</v>
      </c>
      <c r="K20" s="1"/>
      <c r="L20" s="1" t="s">
        <v>77</v>
      </c>
      <c r="M20" s="1"/>
      <c r="N20" s="1"/>
      <c r="O20" s="1"/>
      <c r="P20" s="1"/>
      <c r="Q20" s="1"/>
      <c r="R20" s="1"/>
      <c r="S20" s="1"/>
      <c r="T20" s="1"/>
      <c r="U20" s="4" t="s">
        <v>110</v>
      </c>
      <c r="V20" s="1" t="s">
        <v>79</v>
      </c>
      <c r="W20" s="1" t="s">
        <v>80</v>
      </c>
      <c r="X20" s="1" t="s">
        <v>81</v>
      </c>
      <c r="Y20" s="1"/>
      <c r="Z20" s="1"/>
      <c r="AA20" s="1"/>
      <c r="AB20" s="1"/>
      <c r="AC20" s="1"/>
      <c r="AD20" s="1"/>
      <c r="AE20" s="1"/>
      <c r="AF20" s="2"/>
      <c r="AG20" s="2"/>
      <c r="AH20" s="2"/>
      <c r="AI20" s="2"/>
      <c r="AJ20" s="2"/>
      <c r="AK20" s="2"/>
      <c r="AL20" s="2"/>
      <c r="AM20" s="2"/>
      <c r="AN20" s="1"/>
      <c r="AO20" s="1"/>
      <c r="AP20" s="2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9" customHeight="1" x14ac:dyDescent="0.3">
      <c r="A21" s="5"/>
      <c r="B21" s="62"/>
      <c r="C21" s="1" t="s">
        <v>111</v>
      </c>
      <c r="D21" s="1">
        <f t="shared" si="0"/>
        <v>17</v>
      </c>
      <c r="E21" s="1" t="s">
        <v>112</v>
      </c>
      <c r="F21" s="1" t="s">
        <v>75</v>
      </c>
      <c r="G21" s="1" t="s">
        <v>90</v>
      </c>
      <c r="H21" s="1" t="s">
        <v>64</v>
      </c>
      <c r="I21" s="1" t="s">
        <v>65</v>
      </c>
      <c r="J21" s="1" t="s">
        <v>66</v>
      </c>
      <c r="K21" s="1"/>
      <c r="L21" s="1" t="s">
        <v>77</v>
      </c>
      <c r="M21" s="1"/>
      <c r="N21" s="1"/>
      <c r="O21" s="1"/>
      <c r="P21" s="1"/>
      <c r="Q21" s="1"/>
      <c r="R21" s="1"/>
      <c r="S21" s="1"/>
      <c r="T21" s="1"/>
      <c r="U21" s="4" t="s">
        <v>113</v>
      </c>
      <c r="V21" s="1" t="s">
        <v>79</v>
      </c>
      <c r="W21" s="1" t="s">
        <v>80</v>
      </c>
      <c r="X21" s="1" t="s">
        <v>81</v>
      </c>
      <c r="Y21" s="1"/>
      <c r="Z21" s="1"/>
      <c r="AA21" s="3">
        <v>44852</v>
      </c>
      <c r="AB21" s="1"/>
      <c r="AC21" s="1"/>
      <c r="AD21" s="1"/>
      <c r="AE21" s="1"/>
      <c r="AF21" s="2"/>
      <c r="AG21" s="1">
        <v>2</v>
      </c>
      <c r="AH21" s="3">
        <f>AI6+1</f>
        <v>44856</v>
      </c>
      <c r="AI21" s="3">
        <f>AH21+AG21</f>
        <v>44858</v>
      </c>
      <c r="AJ21" s="2"/>
      <c r="AK21" s="2"/>
      <c r="AL21" s="2"/>
      <c r="AM21" s="2"/>
      <c r="AN21" s="1"/>
      <c r="AO21" s="1"/>
      <c r="AP21" s="2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9" customHeight="1" x14ac:dyDescent="0.3">
      <c r="A22" s="5"/>
      <c r="B22" s="62"/>
      <c r="C22" s="1" t="s">
        <v>111</v>
      </c>
      <c r="D22" s="1">
        <f t="shared" si="0"/>
        <v>18</v>
      </c>
      <c r="E22" s="1" t="s">
        <v>114</v>
      </c>
      <c r="F22" s="1" t="s">
        <v>75</v>
      </c>
      <c r="G22" s="1" t="s">
        <v>90</v>
      </c>
      <c r="H22" s="1" t="s">
        <v>64</v>
      </c>
      <c r="I22" s="1" t="s">
        <v>65</v>
      </c>
      <c r="J22" s="1" t="s">
        <v>66</v>
      </c>
      <c r="K22" s="1"/>
      <c r="L22" s="1" t="s">
        <v>77</v>
      </c>
      <c r="M22" s="1"/>
      <c r="N22" s="1"/>
      <c r="O22" s="1"/>
      <c r="P22" s="1"/>
      <c r="Q22" s="1"/>
      <c r="R22" s="1"/>
      <c r="S22" s="1"/>
      <c r="T22" s="1"/>
      <c r="U22" s="4" t="s">
        <v>115</v>
      </c>
      <c r="V22" s="1" t="s">
        <v>79</v>
      </c>
      <c r="W22" s="1" t="s">
        <v>80</v>
      </c>
      <c r="X22" s="1" t="s">
        <v>81</v>
      </c>
      <c r="Y22" s="1"/>
      <c r="Z22" s="1"/>
      <c r="AA22" s="3">
        <v>44852</v>
      </c>
      <c r="AB22" s="3"/>
      <c r="AC22" s="1"/>
      <c r="AD22" s="1"/>
      <c r="AE22" s="1"/>
      <c r="AF22" s="2"/>
      <c r="AG22" s="1">
        <v>2</v>
      </c>
      <c r="AH22" s="3">
        <f>AI21+1</f>
        <v>44859</v>
      </c>
      <c r="AI22" s="3">
        <f>AH22+AG22</f>
        <v>44861</v>
      </c>
      <c r="AJ22" s="2"/>
      <c r="AK22" s="2"/>
      <c r="AL22" s="2"/>
      <c r="AM22" s="2"/>
      <c r="AN22" s="1"/>
      <c r="AO22" s="1"/>
      <c r="AP22" s="2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9" customHeight="1" x14ac:dyDescent="0.3">
      <c r="A23" s="5"/>
      <c r="B23" s="62" t="s">
        <v>116</v>
      </c>
      <c r="C23" s="1"/>
      <c r="D23" s="1">
        <f t="shared" si="0"/>
        <v>19</v>
      </c>
      <c r="E23" s="1" t="s">
        <v>117</v>
      </c>
      <c r="F23" s="1" t="s">
        <v>118</v>
      </c>
      <c r="G23" s="1"/>
      <c r="H23" s="1"/>
      <c r="I23" s="1"/>
      <c r="J23" s="1" t="s">
        <v>66</v>
      </c>
      <c r="K23" s="1"/>
      <c r="L23" s="1" t="s">
        <v>77</v>
      </c>
      <c r="M23" s="1"/>
      <c r="N23" s="1"/>
      <c r="O23" s="1"/>
      <c r="P23" s="1"/>
      <c r="Q23" s="1"/>
      <c r="R23" s="1"/>
      <c r="S23" s="1"/>
      <c r="T23" s="1"/>
      <c r="U23" s="4" t="s">
        <v>119</v>
      </c>
      <c r="V23" s="1" t="s">
        <v>79</v>
      </c>
      <c r="W23" s="1" t="s">
        <v>120</v>
      </c>
      <c r="X23" s="1" t="s">
        <v>81</v>
      </c>
      <c r="Y23" s="1"/>
      <c r="Z23" s="1"/>
      <c r="AA23" s="1"/>
      <c r="AB23" s="1"/>
      <c r="AC23" s="1"/>
      <c r="AD23" s="1"/>
      <c r="AE23" s="1"/>
      <c r="AF23" s="2"/>
      <c r="AG23" s="2"/>
      <c r="AH23" s="2"/>
      <c r="AI23" s="2"/>
      <c r="AJ23" s="2"/>
      <c r="AK23" s="2"/>
      <c r="AL23" s="2"/>
      <c r="AM23" s="2"/>
      <c r="AN23" s="1"/>
      <c r="AO23" s="1"/>
      <c r="AP23" s="2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9" customHeight="1" x14ac:dyDescent="0.3">
      <c r="A24" s="5"/>
      <c r="B24" s="62"/>
      <c r="C24" s="1" t="s">
        <v>121</v>
      </c>
      <c r="D24" s="1">
        <f t="shared" si="0"/>
        <v>20</v>
      </c>
      <c r="E24" s="1" t="s">
        <v>122</v>
      </c>
      <c r="F24" s="1" t="s">
        <v>118</v>
      </c>
      <c r="G24" s="1"/>
      <c r="H24" s="1"/>
      <c r="I24" s="1"/>
      <c r="J24" s="1" t="s">
        <v>66</v>
      </c>
      <c r="K24" s="1"/>
      <c r="L24" s="1" t="s">
        <v>77</v>
      </c>
      <c r="M24" s="1"/>
      <c r="N24" s="1"/>
      <c r="O24" s="1"/>
      <c r="P24" s="1"/>
      <c r="Q24" s="1"/>
      <c r="R24" s="1"/>
      <c r="S24" s="1"/>
      <c r="T24" s="1"/>
      <c r="U24" s="4"/>
      <c r="V24" s="1" t="s">
        <v>79</v>
      </c>
      <c r="W24" s="1" t="s">
        <v>120</v>
      </c>
      <c r="X24" s="1" t="s">
        <v>81</v>
      </c>
      <c r="Y24" s="1"/>
      <c r="Z24" s="1"/>
      <c r="AA24" s="1"/>
      <c r="AB24" s="1"/>
      <c r="AC24" s="1"/>
      <c r="AD24" s="1"/>
      <c r="AE24" s="1"/>
      <c r="AF24" s="2"/>
      <c r="AG24" s="2"/>
      <c r="AH24" s="2"/>
      <c r="AI24" s="2"/>
      <c r="AJ24" s="2"/>
      <c r="AK24" s="2"/>
      <c r="AL24" s="2"/>
      <c r="AM24" s="2"/>
      <c r="AN24" s="1"/>
      <c r="AO24" s="1"/>
      <c r="AP24" s="2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9" customHeight="1" x14ac:dyDescent="0.3">
      <c r="A25" s="5"/>
      <c r="B25" s="62"/>
      <c r="C25" s="1"/>
      <c r="D25" s="1">
        <f t="shared" si="0"/>
        <v>21</v>
      </c>
      <c r="E25" s="1" t="s">
        <v>123</v>
      </c>
      <c r="F25" s="1" t="s">
        <v>118</v>
      </c>
      <c r="G25" s="1"/>
      <c r="H25" s="1"/>
      <c r="I25" s="1"/>
      <c r="J25" s="1" t="s">
        <v>66</v>
      </c>
      <c r="K25" s="1"/>
      <c r="L25" s="1" t="s">
        <v>77</v>
      </c>
      <c r="M25" s="1"/>
      <c r="N25" s="1"/>
      <c r="O25" s="1"/>
      <c r="P25" s="1"/>
      <c r="Q25" s="1"/>
      <c r="R25" s="1"/>
      <c r="S25" s="1"/>
      <c r="T25" s="1"/>
      <c r="U25" s="4"/>
      <c r="V25" s="1" t="s">
        <v>79</v>
      </c>
      <c r="W25" s="1" t="s">
        <v>120</v>
      </c>
      <c r="X25" s="1" t="s">
        <v>81</v>
      </c>
      <c r="Y25" s="1"/>
      <c r="Z25" s="1"/>
      <c r="AA25" s="1"/>
      <c r="AB25" s="1"/>
      <c r="AC25" s="1"/>
      <c r="AD25" s="1"/>
      <c r="AE25" s="1"/>
      <c r="AF25" s="2"/>
      <c r="AG25" s="2"/>
      <c r="AH25" s="2"/>
      <c r="AI25" s="2"/>
      <c r="AJ25" s="2"/>
      <c r="AK25" s="2"/>
      <c r="AL25" s="2"/>
      <c r="AM25" s="2"/>
      <c r="AN25" s="1"/>
      <c r="AO25" s="1"/>
      <c r="AP25" s="2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9" customHeight="1" x14ac:dyDescent="0.3">
      <c r="A26" s="5"/>
      <c r="B26" s="62"/>
      <c r="C26" s="1"/>
      <c r="D26" s="1">
        <f t="shared" si="0"/>
        <v>22</v>
      </c>
      <c r="E26" s="1" t="s">
        <v>124</v>
      </c>
      <c r="F26" s="1" t="s">
        <v>118</v>
      </c>
      <c r="G26" s="1" t="s">
        <v>90</v>
      </c>
      <c r="H26" s="1" t="s">
        <v>64</v>
      </c>
      <c r="I26" s="1" t="s">
        <v>65</v>
      </c>
      <c r="J26" s="1" t="s">
        <v>66</v>
      </c>
      <c r="K26" s="1"/>
      <c r="L26" s="1" t="s">
        <v>77</v>
      </c>
      <c r="M26" s="1"/>
      <c r="N26" s="1"/>
      <c r="O26" s="1"/>
      <c r="P26" s="1"/>
      <c r="Q26" s="1"/>
      <c r="R26" s="1"/>
      <c r="S26" s="1"/>
      <c r="T26" s="1"/>
      <c r="U26" s="4" t="s">
        <v>125</v>
      </c>
      <c r="V26" s="1" t="s">
        <v>79</v>
      </c>
      <c r="W26" s="1" t="s">
        <v>120</v>
      </c>
      <c r="X26" s="1" t="s">
        <v>81</v>
      </c>
      <c r="Y26" s="1"/>
      <c r="Z26" s="1"/>
      <c r="AA26" s="3">
        <v>44866</v>
      </c>
      <c r="AB26" s="1"/>
      <c r="AC26" s="1"/>
      <c r="AD26" s="1"/>
      <c r="AE26" s="1"/>
      <c r="AF26" s="2"/>
      <c r="AG26" s="1">
        <v>3</v>
      </c>
      <c r="AH26" s="3">
        <f>AA26+1</f>
        <v>44867</v>
      </c>
      <c r="AI26" s="3">
        <f>AH26+AG26</f>
        <v>44870</v>
      </c>
      <c r="AJ26" s="2"/>
      <c r="AK26" s="2"/>
      <c r="AL26" s="2"/>
      <c r="AM26" s="2"/>
      <c r="AN26" s="1"/>
      <c r="AO26" s="1"/>
      <c r="AP26" s="2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9" customHeight="1" x14ac:dyDescent="0.3">
      <c r="A27" s="5"/>
      <c r="B27" s="62"/>
      <c r="C27" s="1"/>
      <c r="D27" s="1">
        <f t="shared" si="0"/>
        <v>23</v>
      </c>
      <c r="E27" s="1" t="s">
        <v>126</v>
      </c>
      <c r="F27" s="1" t="s">
        <v>118</v>
      </c>
      <c r="G27" s="1" t="s">
        <v>83</v>
      </c>
      <c r="H27" s="1" t="s">
        <v>64</v>
      </c>
      <c r="I27" s="1" t="s">
        <v>65</v>
      </c>
      <c r="J27" s="1" t="s">
        <v>66</v>
      </c>
      <c r="K27" s="1"/>
      <c r="L27" s="1" t="s">
        <v>77</v>
      </c>
      <c r="M27" s="1"/>
      <c r="N27" s="1"/>
      <c r="O27" s="1"/>
      <c r="P27" s="1"/>
      <c r="Q27" s="1"/>
      <c r="R27" s="1"/>
      <c r="S27" s="1"/>
      <c r="T27" s="1"/>
      <c r="U27" s="4" t="s">
        <v>127</v>
      </c>
      <c r="V27" s="1" t="s">
        <v>79</v>
      </c>
      <c r="W27" s="1" t="s">
        <v>120</v>
      </c>
      <c r="X27" s="1" t="s">
        <v>81</v>
      </c>
      <c r="Y27" s="1"/>
      <c r="Z27" s="1"/>
      <c r="AA27" s="3">
        <v>44873</v>
      </c>
      <c r="AB27" s="1"/>
      <c r="AC27" s="1"/>
      <c r="AD27" s="1"/>
      <c r="AE27" s="1"/>
      <c r="AF27" s="2"/>
      <c r="AG27" s="1">
        <v>3</v>
      </c>
      <c r="AH27" s="3">
        <f>AA27+1</f>
        <v>44874</v>
      </c>
      <c r="AI27" s="3">
        <f>AH27+AG27</f>
        <v>44877</v>
      </c>
      <c r="AJ27" s="2"/>
      <c r="AK27" s="2"/>
      <c r="AL27" s="2"/>
      <c r="AM27" s="2"/>
      <c r="AN27" s="1"/>
      <c r="AO27" s="1"/>
      <c r="AP27" s="2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9" customHeight="1" x14ac:dyDescent="0.3">
      <c r="A28" s="5"/>
      <c r="B28" s="62"/>
      <c r="C28" s="1"/>
      <c r="D28" s="1">
        <f t="shared" si="0"/>
        <v>24</v>
      </c>
      <c r="E28" s="1" t="s">
        <v>128</v>
      </c>
      <c r="F28" s="1" t="s">
        <v>118</v>
      </c>
      <c r="G28" s="1"/>
      <c r="H28" s="1"/>
      <c r="I28" s="1"/>
      <c r="J28" s="1" t="s">
        <v>66</v>
      </c>
      <c r="K28" s="1"/>
      <c r="L28" s="1" t="s">
        <v>77</v>
      </c>
      <c r="M28" s="1"/>
      <c r="N28" s="1"/>
      <c r="O28" s="1"/>
      <c r="P28" s="1"/>
      <c r="Q28" s="1"/>
      <c r="R28" s="1"/>
      <c r="S28" s="1"/>
      <c r="T28" s="1"/>
      <c r="U28" s="4"/>
      <c r="V28" s="1" t="s">
        <v>79</v>
      </c>
      <c r="W28" s="1" t="s">
        <v>120</v>
      </c>
      <c r="X28" s="1" t="s">
        <v>81</v>
      </c>
      <c r="Y28" s="1"/>
      <c r="Z28" s="1"/>
      <c r="AA28" s="1"/>
      <c r="AB28" s="1"/>
      <c r="AC28" s="1"/>
      <c r="AD28" s="1"/>
      <c r="AE28" s="1"/>
      <c r="AF28" s="2"/>
      <c r="AG28" s="2"/>
      <c r="AH28" s="2"/>
      <c r="AI28" s="2"/>
      <c r="AJ28" s="2"/>
      <c r="AK28" s="2"/>
      <c r="AL28" s="2"/>
      <c r="AM28" s="2"/>
      <c r="AN28" s="1"/>
      <c r="AO28" s="1"/>
      <c r="AP28" s="2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9" customHeight="1" x14ac:dyDescent="0.3">
      <c r="A29" s="5"/>
      <c r="B29" s="62"/>
      <c r="C29" s="1"/>
      <c r="D29" s="1">
        <f t="shared" si="0"/>
        <v>25</v>
      </c>
      <c r="E29" s="1" t="s">
        <v>129</v>
      </c>
      <c r="F29" s="1" t="s">
        <v>118</v>
      </c>
      <c r="G29" s="1"/>
      <c r="H29" s="1"/>
      <c r="I29" s="1"/>
      <c r="J29" s="1" t="s">
        <v>66</v>
      </c>
      <c r="K29" s="1"/>
      <c r="L29" s="1" t="s">
        <v>77</v>
      </c>
      <c r="M29" s="1"/>
      <c r="N29" s="1"/>
      <c r="O29" s="1"/>
      <c r="P29" s="1"/>
      <c r="Q29" s="1"/>
      <c r="R29" s="1"/>
      <c r="S29" s="1"/>
      <c r="T29" s="1"/>
      <c r="U29" s="4"/>
      <c r="V29" s="1" t="s">
        <v>79</v>
      </c>
      <c r="W29" s="1" t="s">
        <v>120</v>
      </c>
      <c r="X29" s="1" t="s">
        <v>81</v>
      </c>
      <c r="Y29" s="1"/>
      <c r="Z29" s="1"/>
      <c r="AA29" s="1"/>
      <c r="AB29" s="1"/>
      <c r="AC29" s="1"/>
      <c r="AD29" s="1"/>
      <c r="AE29" s="1"/>
      <c r="AF29" s="2"/>
      <c r="AG29" s="2"/>
      <c r="AH29" s="2"/>
      <c r="AI29" s="2"/>
      <c r="AJ29" s="2"/>
      <c r="AK29" s="2"/>
      <c r="AL29" s="2"/>
      <c r="AM29" s="2"/>
      <c r="AN29" s="1"/>
      <c r="AO29" s="1"/>
      <c r="AP29" s="2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9" customHeight="1" x14ac:dyDescent="0.3">
      <c r="A30" s="5"/>
      <c r="B30" s="62"/>
      <c r="C30" s="1"/>
      <c r="D30" s="1">
        <f t="shared" si="0"/>
        <v>26</v>
      </c>
      <c r="E30" s="1" t="s">
        <v>130</v>
      </c>
      <c r="F30" s="1" t="s">
        <v>118</v>
      </c>
      <c r="G30" s="1" t="s">
        <v>83</v>
      </c>
      <c r="H30" s="1" t="s">
        <v>64</v>
      </c>
      <c r="I30" s="1" t="s">
        <v>65</v>
      </c>
      <c r="J30" s="1" t="s">
        <v>66</v>
      </c>
      <c r="K30" s="1"/>
      <c r="L30" s="1" t="s">
        <v>77</v>
      </c>
      <c r="M30" s="1"/>
      <c r="N30" s="1"/>
      <c r="O30" s="1"/>
      <c r="P30" s="1"/>
      <c r="Q30" s="1"/>
      <c r="R30" s="1"/>
      <c r="S30" s="1"/>
      <c r="T30" s="1"/>
      <c r="U30" s="4" t="s">
        <v>131</v>
      </c>
      <c r="V30" s="1" t="s">
        <v>79</v>
      </c>
      <c r="W30" s="1" t="s">
        <v>120</v>
      </c>
      <c r="X30" s="1" t="s">
        <v>81</v>
      </c>
      <c r="Y30" s="1"/>
      <c r="Z30" s="1"/>
      <c r="AA30" s="3">
        <v>44873</v>
      </c>
      <c r="AB30" s="1"/>
      <c r="AC30" s="1"/>
      <c r="AD30" s="1"/>
      <c r="AE30" s="1"/>
      <c r="AF30" s="2"/>
      <c r="AG30" s="1">
        <v>3</v>
      </c>
      <c r="AH30" s="3">
        <f>AA30+1</f>
        <v>44874</v>
      </c>
      <c r="AI30" s="3">
        <f>AH30+AG30</f>
        <v>44877</v>
      </c>
      <c r="AJ30" s="2"/>
      <c r="AK30" s="2"/>
      <c r="AL30" s="2"/>
      <c r="AM30" s="2"/>
      <c r="AN30" s="1"/>
      <c r="AO30" s="1"/>
      <c r="AP30" s="2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9" customHeight="1" x14ac:dyDescent="0.3">
      <c r="A31" s="5"/>
      <c r="B31" s="62"/>
      <c r="C31" s="1"/>
      <c r="D31" s="1">
        <f t="shared" si="0"/>
        <v>27</v>
      </c>
      <c r="E31" s="1" t="s">
        <v>132</v>
      </c>
      <c r="F31" s="1" t="s">
        <v>118</v>
      </c>
      <c r="G31" s="1" t="s">
        <v>90</v>
      </c>
      <c r="H31" s="1" t="s">
        <v>64</v>
      </c>
      <c r="I31" s="1" t="s">
        <v>65</v>
      </c>
      <c r="J31" s="1" t="s">
        <v>66</v>
      </c>
      <c r="K31" s="1"/>
      <c r="L31" s="1" t="s">
        <v>77</v>
      </c>
      <c r="M31" s="1"/>
      <c r="N31" s="1"/>
      <c r="O31" s="1"/>
      <c r="P31" s="1"/>
      <c r="Q31" s="1"/>
      <c r="R31" s="1"/>
      <c r="S31" s="1"/>
      <c r="T31" s="1"/>
      <c r="U31" s="4" t="s">
        <v>133</v>
      </c>
      <c r="V31" s="1" t="s">
        <v>79</v>
      </c>
      <c r="W31" s="1" t="s">
        <v>120</v>
      </c>
      <c r="X31" s="1" t="s">
        <v>81</v>
      </c>
      <c r="Y31" s="1"/>
      <c r="Z31" s="1"/>
      <c r="AA31" s="3">
        <v>44866</v>
      </c>
      <c r="AB31" s="1"/>
      <c r="AC31" s="1"/>
      <c r="AD31" s="1"/>
      <c r="AE31" s="1"/>
      <c r="AF31" s="2"/>
      <c r="AG31" s="1">
        <v>3</v>
      </c>
      <c r="AH31" s="3">
        <f>AA31+1</f>
        <v>44867</v>
      </c>
      <c r="AI31" s="3">
        <f>AH31+AG31</f>
        <v>44870</v>
      </c>
      <c r="AJ31" s="2"/>
      <c r="AK31" s="2"/>
      <c r="AL31" s="2"/>
      <c r="AM31" s="2"/>
      <c r="AN31" s="1"/>
      <c r="AO31" s="1"/>
      <c r="AP31" s="2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9" customHeight="1" x14ac:dyDescent="0.3">
      <c r="A32" s="5"/>
      <c r="B32" s="62"/>
      <c r="C32" s="1"/>
      <c r="D32" s="1">
        <f t="shared" si="0"/>
        <v>28</v>
      </c>
      <c r="E32" s="1" t="s">
        <v>134</v>
      </c>
      <c r="F32" s="1" t="s">
        <v>118</v>
      </c>
      <c r="G32" s="1" t="s">
        <v>90</v>
      </c>
      <c r="H32" s="1" t="s">
        <v>64</v>
      </c>
      <c r="I32" s="1" t="s">
        <v>65</v>
      </c>
      <c r="J32" s="1" t="s">
        <v>66</v>
      </c>
      <c r="K32" s="1"/>
      <c r="L32" s="1" t="s">
        <v>77</v>
      </c>
      <c r="M32" s="1"/>
      <c r="N32" s="1"/>
      <c r="O32" s="1"/>
      <c r="P32" s="1"/>
      <c r="Q32" s="1"/>
      <c r="R32" s="1"/>
      <c r="S32" s="1"/>
      <c r="T32" s="1"/>
      <c r="U32" s="4" t="s">
        <v>135</v>
      </c>
      <c r="V32" s="1" t="s">
        <v>79</v>
      </c>
      <c r="W32" s="1" t="s">
        <v>120</v>
      </c>
      <c r="X32" s="1" t="s">
        <v>81</v>
      </c>
      <c r="Y32" s="1"/>
      <c r="Z32" s="1"/>
      <c r="AA32" s="3">
        <v>44866</v>
      </c>
      <c r="AB32" s="1"/>
      <c r="AC32" s="1"/>
      <c r="AD32" s="1"/>
      <c r="AE32" s="1"/>
      <c r="AF32" s="2"/>
      <c r="AG32" s="1">
        <v>3</v>
      </c>
      <c r="AH32" s="3">
        <f>AA32+1</f>
        <v>44867</v>
      </c>
      <c r="AI32" s="3">
        <f>AH32+AG32</f>
        <v>44870</v>
      </c>
      <c r="AJ32" s="2"/>
      <c r="AK32" s="2"/>
      <c r="AL32" s="2"/>
      <c r="AM32" s="2"/>
      <c r="AN32" s="1"/>
      <c r="AO32" s="1"/>
      <c r="AP32" s="2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9" customHeight="1" x14ac:dyDescent="0.3">
      <c r="A33" s="5"/>
      <c r="B33" s="62"/>
      <c r="C33" s="1"/>
      <c r="D33" s="1">
        <f t="shared" si="0"/>
        <v>29</v>
      </c>
      <c r="E33" s="1" t="s">
        <v>136</v>
      </c>
      <c r="F33" s="1" t="s">
        <v>118</v>
      </c>
      <c r="G33" s="1" t="s">
        <v>90</v>
      </c>
      <c r="H33" s="1" t="s">
        <v>64</v>
      </c>
      <c r="I33" s="1" t="s">
        <v>65</v>
      </c>
      <c r="J33" s="1" t="s">
        <v>66</v>
      </c>
      <c r="K33" s="1"/>
      <c r="L33" s="1" t="s">
        <v>77</v>
      </c>
      <c r="M33" s="1"/>
      <c r="N33" s="1"/>
      <c r="O33" s="1"/>
      <c r="P33" s="1"/>
      <c r="Q33" s="1"/>
      <c r="R33" s="1"/>
      <c r="S33" s="1"/>
      <c r="T33" s="1"/>
      <c r="U33" s="4" t="s">
        <v>137</v>
      </c>
      <c r="V33" s="1" t="s">
        <v>79</v>
      </c>
      <c r="W33" s="1" t="s">
        <v>120</v>
      </c>
      <c r="X33" s="1" t="s">
        <v>81</v>
      </c>
      <c r="Y33" s="1"/>
      <c r="Z33" s="1"/>
      <c r="AA33" s="3">
        <v>44859</v>
      </c>
      <c r="AB33" s="1"/>
      <c r="AC33" s="1"/>
      <c r="AD33" s="1"/>
      <c r="AE33" s="1"/>
      <c r="AF33" s="2"/>
      <c r="AG33" s="1">
        <v>3</v>
      </c>
      <c r="AH33" s="3">
        <f>AA33+1</f>
        <v>44860</v>
      </c>
      <c r="AI33" s="3">
        <f>AH33+AG33</f>
        <v>44863</v>
      </c>
      <c r="AJ33" s="2"/>
      <c r="AK33" s="2"/>
      <c r="AL33" s="2"/>
      <c r="AM33" s="2"/>
      <c r="AN33" s="1"/>
      <c r="AO33" s="1"/>
      <c r="AP33" s="2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9" customHeight="1" x14ac:dyDescent="0.3">
      <c r="A34" s="5"/>
      <c r="B34" s="62"/>
      <c r="C34" s="1" t="s">
        <v>121</v>
      </c>
      <c r="D34" s="1">
        <f t="shared" si="0"/>
        <v>30</v>
      </c>
      <c r="E34" s="1" t="s">
        <v>121</v>
      </c>
      <c r="F34" s="1" t="s">
        <v>118</v>
      </c>
      <c r="G34" s="1"/>
      <c r="H34" s="1"/>
      <c r="I34" s="1"/>
      <c r="J34" s="1" t="s">
        <v>66</v>
      </c>
      <c r="K34" s="1"/>
      <c r="L34" s="1" t="s">
        <v>77</v>
      </c>
      <c r="M34" s="1"/>
      <c r="N34" s="1"/>
      <c r="O34" s="1"/>
      <c r="P34" s="1"/>
      <c r="Q34" s="1"/>
      <c r="R34" s="1"/>
      <c r="S34" s="1"/>
      <c r="T34" s="1"/>
      <c r="U34" s="4"/>
      <c r="V34" s="1" t="s">
        <v>79</v>
      </c>
      <c r="W34" s="1" t="s">
        <v>120</v>
      </c>
      <c r="X34" s="1" t="s">
        <v>81</v>
      </c>
      <c r="Y34" s="1"/>
      <c r="Z34" s="1"/>
      <c r="AA34" s="1"/>
      <c r="AB34" s="1"/>
      <c r="AC34" s="1"/>
      <c r="AD34" s="1"/>
      <c r="AE34" s="1"/>
      <c r="AF34" s="2"/>
      <c r="AG34" s="2"/>
      <c r="AH34" s="2"/>
      <c r="AI34" s="2"/>
      <c r="AJ34" s="2"/>
      <c r="AK34" s="2"/>
      <c r="AL34" s="2"/>
      <c r="AM34" s="2"/>
      <c r="AN34" s="1"/>
      <c r="AO34" s="1"/>
      <c r="AP34" s="2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9" customHeight="1" x14ac:dyDescent="0.3">
      <c r="A35" s="5"/>
      <c r="B35" s="62"/>
      <c r="C35" s="1" t="s">
        <v>121</v>
      </c>
      <c r="D35" s="1">
        <f t="shared" si="0"/>
        <v>31</v>
      </c>
      <c r="E35" s="1" t="s">
        <v>138</v>
      </c>
      <c r="F35" s="1" t="s">
        <v>118</v>
      </c>
      <c r="G35" s="1"/>
      <c r="H35" s="1"/>
      <c r="I35" s="1"/>
      <c r="J35" s="1" t="s">
        <v>66</v>
      </c>
      <c r="K35" s="1"/>
      <c r="L35" s="1" t="s">
        <v>77</v>
      </c>
      <c r="M35" s="1"/>
      <c r="N35" s="1"/>
      <c r="O35" s="1"/>
      <c r="P35" s="1"/>
      <c r="Q35" s="1"/>
      <c r="R35" s="1"/>
      <c r="S35" s="1"/>
      <c r="T35" s="1"/>
      <c r="U35" s="4"/>
      <c r="V35" s="1" t="s">
        <v>79</v>
      </c>
      <c r="W35" s="1" t="s">
        <v>120</v>
      </c>
      <c r="X35" s="1" t="s">
        <v>81</v>
      </c>
      <c r="Y35" s="1"/>
      <c r="Z35" s="1"/>
      <c r="AA35" s="1"/>
      <c r="AB35" s="1"/>
      <c r="AC35" s="1"/>
      <c r="AD35" s="1"/>
      <c r="AE35" s="1"/>
      <c r="AF35" s="2"/>
      <c r="AG35" s="2"/>
      <c r="AH35" s="2"/>
      <c r="AI35" s="2"/>
      <c r="AJ35" s="2"/>
      <c r="AK35" s="2"/>
      <c r="AL35" s="2"/>
      <c r="AM35" s="2"/>
      <c r="AN35" s="1"/>
      <c r="AO35" s="1"/>
      <c r="AP35" s="2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9" customHeight="1" x14ac:dyDescent="0.3">
      <c r="A36" s="5"/>
      <c r="B36" s="62"/>
      <c r="C36" s="1" t="s">
        <v>121</v>
      </c>
      <c r="D36" s="1">
        <f t="shared" si="0"/>
        <v>32</v>
      </c>
      <c r="E36" s="1" t="s">
        <v>139</v>
      </c>
      <c r="F36" s="1" t="s">
        <v>118</v>
      </c>
      <c r="G36" s="1"/>
      <c r="H36" s="1"/>
      <c r="I36" s="1"/>
      <c r="J36" s="1" t="s">
        <v>66</v>
      </c>
      <c r="K36" s="1"/>
      <c r="L36" s="1" t="s">
        <v>77</v>
      </c>
      <c r="M36" s="1"/>
      <c r="N36" s="1"/>
      <c r="O36" s="1"/>
      <c r="P36" s="1"/>
      <c r="Q36" s="1"/>
      <c r="R36" s="1"/>
      <c r="S36" s="1"/>
      <c r="T36" s="1"/>
      <c r="U36" s="4"/>
      <c r="V36" s="1" t="s">
        <v>79</v>
      </c>
      <c r="W36" s="1" t="s">
        <v>120</v>
      </c>
      <c r="X36" s="1" t="s">
        <v>81</v>
      </c>
      <c r="Y36" s="1"/>
      <c r="Z36" s="1"/>
      <c r="AA36" s="1"/>
      <c r="AB36" s="1"/>
      <c r="AC36" s="1"/>
      <c r="AD36" s="1"/>
      <c r="AE36" s="1"/>
      <c r="AF36" s="2"/>
      <c r="AG36" s="2"/>
      <c r="AH36" s="2"/>
      <c r="AI36" s="2"/>
      <c r="AJ36" s="2"/>
      <c r="AK36" s="2"/>
      <c r="AL36" s="2"/>
      <c r="AM36" s="2"/>
      <c r="AN36" s="1"/>
      <c r="AO36" s="1"/>
      <c r="AP36" s="2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9" customHeight="1" x14ac:dyDescent="0.3">
      <c r="A37" s="5"/>
      <c r="B37" s="62"/>
      <c r="C37" s="1" t="s">
        <v>121</v>
      </c>
      <c r="D37" s="1">
        <f t="shared" si="0"/>
        <v>33</v>
      </c>
      <c r="E37" s="1" t="s">
        <v>140</v>
      </c>
      <c r="F37" s="1" t="s">
        <v>118</v>
      </c>
      <c r="G37" s="1"/>
      <c r="H37" s="1"/>
      <c r="I37" s="1"/>
      <c r="J37" s="1" t="s">
        <v>66</v>
      </c>
      <c r="K37" s="1"/>
      <c r="L37" s="1" t="s">
        <v>77</v>
      </c>
      <c r="M37" s="1"/>
      <c r="N37" s="1"/>
      <c r="O37" s="1"/>
      <c r="P37" s="1"/>
      <c r="Q37" s="1"/>
      <c r="R37" s="1"/>
      <c r="S37" s="1"/>
      <c r="T37" s="1"/>
      <c r="U37" s="4"/>
      <c r="V37" s="1" t="s">
        <v>79</v>
      </c>
      <c r="W37" s="1" t="s">
        <v>120</v>
      </c>
      <c r="X37" s="1" t="s">
        <v>81</v>
      </c>
      <c r="Y37" s="1"/>
      <c r="Z37" s="1"/>
      <c r="AA37" s="1"/>
      <c r="AB37" s="1"/>
      <c r="AC37" s="1"/>
      <c r="AD37" s="1"/>
      <c r="AE37" s="1"/>
      <c r="AF37" s="2"/>
      <c r="AG37" s="2"/>
      <c r="AH37" s="2"/>
      <c r="AI37" s="2"/>
      <c r="AJ37" s="2"/>
      <c r="AK37" s="2"/>
      <c r="AL37" s="2"/>
      <c r="AM37" s="2"/>
      <c r="AN37" s="1"/>
      <c r="AO37" s="1"/>
      <c r="AP37" s="2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9" customHeight="1" x14ac:dyDescent="0.3">
      <c r="A38" s="5"/>
      <c r="B38" s="62"/>
      <c r="C38" s="1"/>
      <c r="D38" s="1">
        <f t="shared" si="0"/>
        <v>34</v>
      </c>
      <c r="E38" s="1" t="s">
        <v>141</v>
      </c>
      <c r="F38" s="1" t="s">
        <v>118</v>
      </c>
      <c r="G38" s="1" t="s">
        <v>90</v>
      </c>
      <c r="H38" s="1" t="s">
        <v>64</v>
      </c>
      <c r="I38" s="1" t="s">
        <v>65</v>
      </c>
      <c r="J38" s="1" t="s">
        <v>66</v>
      </c>
      <c r="K38" s="1"/>
      <c r="L38" s="1" t="s">
        <v>77</v>
      </c>
      <c r="M38" s="1"/>
      <c r="N38" s="1"/>
      <c r="O38" s="1"/>
      <c r="P38" s="1"/>
      <c r="Q38" s="1"/>
      <c r="R38" s="1"/>
      <c r="S38" s="1"/>
      <c r="T38" s="1"/>
      <c r="U38" s="4" t="s">
        <v>142</v>
      </c>
      <c r="V38" s="1" t="s">
        <v>79</v>
      </c>
      <c r="W38" s="1" t="s">
        <v>120</v>
      </c>
      <c r="X38" s="1" t="s">
        <v>81</v>
      </c>
      <c r="Y38" s="1"/>
      <c r="Z38" s="1"/>
      <c r="AA38" s="3">
        <v>44859</v>
      </c>
      <c r="AB38" s="1"/>
      <c r="AC38" s="1"/>
      <c r="AD38" s="1"/>
      <c r="AE38" s="1"/>
      <c r="AF38" s="2"/>
      <c r="AG38" s="1">
        <v>3</v>
      </c>
      <c r="AH38" s="3">
        <f>AA38+1</f>
        <v>44860</v>
      </c>
      <c r="AI38" s="3">
        <f>AH38+AG38</f>
        <v>44863</v>
      </c>
      <c r="AJ38" s="2"/>
      <c r="AK38" s="2"/>
      <c r="AL38" s="2"/>
      <c r="AM38" s="2"/>
      <c r="AN38" s="1"/>
      <c r="AO38" s="1"/>
      <c r="AP38" s="2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9" customHeight="1" x14ac:dyDescent="0.3">
      <c r="A39" s="5"/>
      <c r="B39" s="62"/>
      <c r="C39" s="1"/>
      <c r="D39" s="1">
        <f t="shared" si="0"/>
        <v>35</v>
      </c>
      <c r="E39" s="1" t="s">
        <v>143</v>
      </c>
      <c r="F39" s="1" t="s">
        <v>118</v>
      </c>
      <c r="G39" s="1" t="s">
        <v>90</v>
      </c>
      <c r="H39" s="1" t="s">
        <v>64</v>
      </c>
      <c r="I39" s="1" t="s">
        <v>65</v>
      </c>
      <c r="J39" s="1" t="s">
        <v>66</v>
      </c>
      <c r="K39" s="1"/>
      <c r="L39" s="1" t="s">
        <v>77</v>
      </c>
      <c r="M39" s="1"/>
      <c r="N39" s="1"/>
      <c r="O39" s="1"/>
      <c r="P39" s="1"/>
      <c r="Q39" s="1"/>
      <c r="R39" s="1"/>
      <c r="S39" s="1"/>
      <c r="T39" s="1"/>
      <c r="U39" s="4" t="s">
        <v>144</v>
      </c>
      <c r="V39" s="1" t="s">
        <v>79</v>
      </c>
      <c r="W39" s="1" t="s">
        <v>120</v>
      </c>
      <c r="X39" s="1" t="s">
        <v>81</v>
      </c>
      <c r="Y39" s="1"/>
      <c r="Z39" s="1"/>
      <c r="AA39" s="3">
        <v>44859</v>
      </c>
      <c r="AB39" s="1"/>
      <c r="AC39" s="1"/>
      <c r="AD39" s="1"/>
      <c r="AE39" s="1"/>
      <c r="AF39" s="2"/>
      <c r="AG39" s="1">
        <v>3</v>
      </c>
      <c r="AH39" s="3">
        <f>AA39+1</f>
        <v>44860</v>
      </c>
      <c r="AI39" s="3">
        <f>AH39+AG39</f>
        <v>44863</v>
      </c>
      <c r="AJ39" s="2"/>
      <c r="AK39" s="2"/>
      <c r="AL39" s="2"/>
      <c r="AM39" s="2"/>
      <c r="AN39" s="1"/>
      <c r="AO39" s="1"/>
      <c r="AP39" s="2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9" customHeight="1" x14ac:dyDescent="0.3">
      <c r="A40" s="5"/>
      <c r="B40" s="62"/>
      <c r="C40" s="1" t="s">
        <v>145</v>
      </c>
      <c r="D40" s="1">
        <f t="shared" si="0"/>
        <v>36</v>
      </c>
      <c r="E40" s="1" t="s">
        <v>146</v>
      </c>
      <c r="F40" s="1" t="s">
        <v>118</v>
      </c>
      <c r="G40" s="1"/>
      <c r="H40" s="1"/>
      <c r="I40" s="1" t="s">
        <v>147</v>
      </c>
      <c r="J40" s="1" t="s">
        <v>66</v>
      </c>
      <c r="K40" s="1"/>
      <c r="L40" s="1" t="s">
        <v>77</v>
      </c>
      <c r="M40" s="1"/>
      <c r="N40" s="1"/>
      <c r="O40" s="1"/>
      <c r="P40" s="1"/>
      <c r="Q40" s="1"/>
      <c r="R40" s="1"/>
      <c r="S40" s="1"/>
      <c r="T40" s="1"/>
      <c r="U40" s="4"/>
      <c r="V40" s="1" t="s">
        <v>79</v>
      </c>
      <c r="W40" s="1" t="s">
        <v>120</v>
      </c>
      <c r="X40" s="1" t="s">
        <v>81</v>
      </c>
      <c r="Y40" s="1"/>
      <c r="Z40" s="1"/>
      <c r="AA40" s="1"/>
      <c r="AB40" s="1"/>
      <c r="AC40" s="1"/>
      <c r="AD40" s="1"/>
      <c r="AE40" s="1"/>
      <c r="AF40" s="2"/>
      <c r="AG40" s="2"/>
      <c r="AH40" s="2"/>
      <c r="AI40" s="2"/>
      <c r="AJ40" s="2"/>
      <c r="AK40" s="2"/>
      <c r="AL40" s="2"/>
      <c r="AM40" s="2"/>
      <c r="AN40" s="1"/>
      <c r="AO40" s="1"/>
      <c r="AP40" s="2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9" customHeight="1" x14ac:dyDescent="0.3">
      <c r="A41" s="5"/>
      <c r="B41" s="62"/>
      <c r="C41" s="1" t="s">
        <v>145</v>
      </c>
      <c r="D41" s="1">
        <f t="shared" si="0"/>
        <v>37</v>
      </c>
      <c r="E41" s="1" t="s">
        <v>148</v>
      </c>
      <c r="F41" s="1" t="s">
        <v>118</v>
      </c>
      <c r="G41" s="1"/>
      <c r="H41" s="1"/>
      <c r="I41" s="1" t="s">
        <v>147</v>
      </c>
      <c r="J41" s="1" t="s">
        <v>66</v>
      </c>
      <c r="K41" s="1"/>
      <c r="L41" s="1" t="s">
        <v>77</v>
      </c>
      <c r="M41" s="1"/>
      <c r="N41" s="1"/>
      <c r="O41" s="1"/>
      <c r="P41" s="1"/>
      <c r="Q41" s="1"/>
      <c r="R41" s="1"/>
      <c r="S41" s="1"/>
      <c r="T41" s="1"/>
      <c r="U41" s="4"/>
      <c r="V41" s="1" t="s">
        <v>79</v>
      </c>
      <c r="W41" s="1" t="s">
        <v>120</v>
      </c>
      <c r="X41" s="1" t="s">
        <v>81</v>
      </c>
      <c r="Y41" s="1"/>
      <c r="Z41" s="1"/>
      <c r="AA41" s="1"/>
      <c r="AB41" s="1"/>
      <c r="AC41" s="1"/>
      <c r="AD41" s="1"/>
      <c r="AE41" s="1"/>
      <c r="AF41" s="2"/>
      <c r="AG41" s="2"/>
      <c r="AH41" s="2"/>
      <c r="AI41" s="2"/>
      <c r="AJ41" s="2"/>
      <c r="AK41" s="2"/>
      <c r="AL41" s="2"/>
      <c r="AM41" s="2"/>
      <c r="AN41" s="1"/>
      <c r="AO41" s="1"/>
      <c r="AP41" s="2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9" customHeight="1" x14ac:dyDescent="0.3">
      <c r="A42" s="5"/>
      <c r="B42" s="62"/>
      <c r="C42" s="1" t="s">
        <v>145</v>
      </c>
      <c r="D42" s="1">
        <f t="shared" si="0"/>
        <v>38</v>
      </c>
      <c r="E42" s="1" t="s">
        <v>149</v>
      </c>
      <c r="F42" s="1" t="s">
        <v>118</v>
      </c>
      <c r="G42" s="1"/>
      <c r="H42" s="1"/>
      <c r="I42" s="1" t="s">
        <v>147</v>
      </c>
      <c r="J42" s="1" t="s">
        <v>66</v>
      </c>
      <c r="K42" s="1"/>
      <c r="L42" s="1" t="s">
        <v>77</v>
      </c>
      <c r="M42" s="1"/>
      <c r="N42" s="1"/>
      <c r="O42" s="1"/>
      <c r="P42" s="1"/>
      <c r="Q42" s="1"/>
      <c r="R42" s="1"/>
      <c r="S42" s="1"/>
      <c r="T42" s="1"/>
      <c r="U42" s="4"/>
      <c r="V42" s="1" t="s">
        <v>79</v>
      </c>
      <c r="W42" s="1" t="s">
        <v>120</v>
      </c>
      <c r="X42" s="1" t="s">
        <v>81</v>
      </c>
      <c r="Y42" s="1"/>
      <c r="Z42" s="1"/>
      <c r="AA42" s="1"/>
      <c r="AB42" s="1"/>
      <c r="AC42" s="1"/>
      <c r="AD42" s="1"/>
      <c r="AE42" s="1"/>
      <c r="AF42" s="2"/>
      <c r="AG42" s="2"/>
      <c r="AH42" s="2"/>
      <c r="AI42" s="2"/>
      <c r="AJ42" s="2"/>
      <c r="AK42" s="2"/>
      <c r="AL42" s="2"/>
      <c r="AM42" s="2"/>
      <c r="AN42" s="1"/>
      <c r="AO42" s="1"/>
      <c r="AP42" s="2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9" customHeight="1" x14ac:dyDescent="0.3">
      <c r="A43" s="5"/>
      <c r="B43" s="62"/>
      <c r="C43" s="1"/>
      <c r="D43" s="1">
        <f t="shared" si="0"/>
        <v>39</v>
      </c>
      <c r="E43" s="1" t="s">
        <v>150</v>
      </c>
      <c r="F43" s="1" t="s">
        <v>118</v>
      </c>
      <c r="G43" s="1"/>
      <c r="H43" s="1"/>
      <c r="I43" s="1" t="s">
        <v>147</v>
      </c>
      <c r="J43" s="1" t="s">
        <v>66</v>
      </c>
      <c r="K43" s="1"/>
      <c r="L43" s="1" t="s">
        <v>77</v>
      </c>
      <c r="M43" s="1"/>
      <c r="N43" s="1"/>
      <c r="O43" s="1"/>
      <c r="P43" s="1"/>
      <c r="Q43" s="1"/>
      <c r="R43" s="1"/>
      <c r="S43" s="1"/>
      <c r="T43" s="1"/>
      <c r="U43" s="4"/>
      <c r="V43" s="1" t="s">
        <v>79</v>
      </c>
      <c r="W43" s="1" t="s">
        <v>120</v>
      </c>
      <c r="X43" s="1" t="s">
        <v>81</v>
      </c>
      <c r="Y43" s="1"/>
      <c r="Z43" s="1"/>
      <c r="AA43" s="1"/>
      <c r="AB43" s="1"/>
      <c r="AC43" s="1"/>
      <c r="AD43" s="1"/>
      <c r="AE43" s="1"/>
      <c r="AF43" s="2"/>
      <c r="AG43" s="2"/>
      <c r="AH43" s="2"/>
      <c r="AI43" s="2"/>
      <c r="AJ43" s="2"/>
      <c r="AK43" s="2"/>
      <c r="AL43" s="2"/>
      <c r="AM43" s="2"/>
      <c r="AN43" s="1"/>
      <c r="AO43" s="1"/>
      <c r="AP43" s="2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9" customHeight="1" x14ac:dyDescent="0.3">
      <c r="A44" s="5"/>
      <c r="B44" s="62"/>
      <c r="C44" s="1"/>
      <c r="D44" s="1">
        <f t="shared" si="0"/>
        <v>40</v>
      </c>
      <c r="E44" s="1" t="s">
        <v>151</v>
      </c>
      <c r="F44" s="1" t="s">
        <v>118</v>
      </c>
      <c r="G44" s="1"/>
      <c r="H44" s="1"/>
      <c r="I44" s="1" t="s">
        <v>147</v>
      </c>
      <c r="J44" s="1" t="s">
        <v>66</v>
      </c>
      <c r="K44" s="1"/>
      <c r="L44" s="1" t="s">
        <v>77</v>
      </c>
      <c r="M44" s="1"/>
      <c r="N44" s="1"/>
      <c r="O44" s="1"/>
      <c r="P44" s="1"/>
      <c r="Q44" s="1"/>
      <c r="R44" s="1"/>
      <c r="S44" s="1"/>
      <c r="T44" s="1"/>
      <c r="U44" s="4"/>
      <c r="V44" s="1" t="s">
        <v>79</v>
      </c>
      <c r="W44" s="1" t="s">
        <v>120</v>
      </c>
      <c r="X44" s="1" t="s">
        <v>81</v>
      </c>
      <c r="Y44" s="1"/>
      <c r="Z44" s="1"/>
      <c r="AA44" s="1"/>
      <c r="AB44" s="1"/>
      <c r="AC44" s="1"/>
      <c r="AD44" s="1"/>
      <c r="AE44" s="1"/>
      <c r="AF44" s="2"/>
      <c r="AG44" s="2"/>
      <c r="AH44" s="2"/>
      <c r="AI44" s="2"/>
      <c r="AJ44" s="2"/>
      <c r="AK44" s="2"/>
      <c r="AL44" s="2"/>
      <c r="AM44" s="2"/>
      <c r="AN44" s="1"/>
      <c r="AO44" s="1"/>
      <c r="AP44" s="2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9" customHeight="1" x14ac:dyDescent="0.3">
      <c r="A45" s="5"/>
      <c r="B45" s="62"/>
      <c r="C45" s="1" t="s">
        <v>145</v>
      </c>
      <c r="D45" s="1">
        <f t="shared" si="0"/>
        <v>41</v>
      </c>
      <c r="E45" s="1" t="s">
        <v>152</v>
      </c>
      <c r="F45" s="1" t="s">
        <v>118</v>
      </c>
      <c r="G45" s="1"/>
      <c r="H45" s="1"/>
      <c r="I45" s="1" t="s">
        <v>147</v>
      </c>
      <c r="J45" s="1" t="s">
        <v>66</v>
      </c>
      <c r="K45" s="1"/>
      <c r="L45" s="1" t="s">
        <v>77</v>
      </c>
      <c r="M45" s="1"/>
      <c r="N45" s="1"/>
      <c r="O45" s="1"/>
      <c r="P45" s="1"/>
      <c r="Q45" s="1"/>
      <c r="R45" s="1"/>
      <c r="S45" s="1"/>
      <c r="T45" s="1"/>
      <c r="U45" s="4"/>
      <c r="V45" s="1" t="s">
        <v>79</v>
      </c>
      <c r="W45" s="1" t="s">
        <v>120</v>
      </c>
      <c r="X45" s="1" t="s">
        <v>81</v>
      </c>
      <c r="Y45" s="1"/>
      <c r="Z45" s="1"/>
      <c r="AA45" s="1"/>
      <c r="AB45" s="1"/>
      <c r="AC45" s="1"/>
      <c r="AD45" s="1"/>
      <c r="AE45" s="1"/>
      <c r="AF45" s="2"/>
      <c r="AG45" s="2"/>
      <c r="AH45" s="2"/>
      <c r="AI45" s="2"/>
      <c r="AJ45" s="2"/>
      <c r="AK45" s="2"/>
      <c r="AL45" s="2"/>
      <c r="AM45" s="2"/>
      <c r="AN45" s="1"/>
      <c r="AO45" s="1"/>
      <c r="AP45" s="2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9" customHeight="1" x14ac:dyDescent="0.3">
      <c r="A46" s="5"/>
      <c r="B46" s="62"/>
      <c r="C46" s="1" t="s">
        <v>153</v>
      </c>
      <c r="D46" s="1">
        <f t="shared" si="0"/>
        <v>42</v>
      </c>
      <c r="E46" s="1" t="s">
        <v>154</v>
      </c>
      <c r="F46" s="1" t="s">
        <v>118</v>
      </c>
      <c r="G46" s="1"/>
      <c r="H46" s="1"/>
      <c r="I46" s="1" t="s">
        <v>147</v>
      </c>
      <c r="J46" s="1" t="s">
        <v>66</v>
      </c>
      <c r="K46" s="1"/>
      <c r="L46" s="1" t="s">
        <v>77</v>
      </c>
      <c r="M46" s="1"/>
      <c r="N46" s="1"/>
      <c r="O46" s="1"/>
      <c r="P46" s="1"/>
      <c r="Q46" s="1"/>
      <c r="R46" s="1"/>
      <c r="S46" s="1"/>
      <c r="T46" s="1"/>
      <c r="U46" s="4"/>
      <c r="V46" s="1" t="s">
        <v>79</v>
      </c>
      <c r="W46" s="1" t="s">
        <v>120</v>
      </c>
      <c r="X46" s="1" t="s">
        <v>81</v>
      </c>
      <c r="Y46" s="1"/>
      <c r="Z46" s="1"/>
      <c r="AA46" s="1"/>
      <c r="AB46" s="1"/>
      <c r="AC46" s="1"/>
      <c r="AD46" s="1"/>
      <c r="AE46" s="1"/>
      <c r="AF46" s="2"/>
      <c r="AG46" s="2"/>
      <c r="AH46" s="2"/>
      <c r="AI46" s="2"/>
      <c r="AJ46" s="2"/>
      <c r="AK46" s="2"/>
      <c r="AL46" s="2"/>
      <c r="AM46" s="2"/>
      <c r="AN46" s="1"/>
      <c r="AO46" s="1"/>
      <c r="AP46" s="2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9" customHeight="1" x14ac:dyDescent="0.3">
      <c r="A47" s="5"/>
      <c r="B47" s="62"/>
      <c r="C47" s="1" t="s">
        <v>153</v>
      </c>
      <c r="D47" s="1">
        <f t="shared" si="0"/>
        <v>43</v>
      </c>
      <c r="E47" s="1" t="s">
        <v>155</v>
      </c>
      <c r="F47" s="1" t="s">
        <v>118</v>
      </c>
      <c r="G47" s="1"/>
      <c r="H47" s="1"/>
      <c r="I47" s="1" t="s">
        <v>147</v>
      </c>
      <c r="J47" s="1" t="s">
        <v>66</v>
      </c>
      <c r="K47" s="1"/>
      <c r="L47" s="1" t="s">
        <v>77</v>
      </c>
      <c r="M47" s="1"/>
      <c r="N47" s="1"/>
      <c r="O47" s="1"/>
      <c r="P47" s="1"/>
      <c r="Q47" s="1"/>
      <c r="R47" s="1"/>
      <c r="S47" s="1"/>
      <c r="T47" s="1"/>
      <c r="U47" s="4"/>
      <c r="V47" s="1" t="s">
        <v>79</v>
      </c>
      <c r="W47" s="1" t="s">
        <v>120</v>
      </c>
      <c r="X47" s="1" t="s">
        <v>81</v>
      </c>
      <c r="Y47" s="1"/>
      <c r="Z47" s="1"/>
      <c r="AA47" s="1"/>
      <c r="AB47" s="1"/>
      <c r="AC47" s="1"/>
      <c r="AD47" s="1"/>
      <c r="AE47" s="1"/>
      <c r="AF47" s="2"/>
      <c r="AG47" s="2"/>
      <c r="AH47" s="2"/>
      <c r="AI47" s="2"/>
      <c r="AJ47" s="2"/>
      <c r="AK47" s="2"/>
      <c r="AL47" s="2"/>
      <c r="AM47" s="2"/>
      <c r="AN47" s="1"/>
      <c r="AO47" s="1"/>
      <c r="AP47" s="2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9" customHeight="1" x14ac:dyDescent="0.3">
      <c r="A48" s="5"/>
      <c r="B48" s="62"/>
      <c r="C48" s="1" t="s">
        <v>153</v>
      </c>
      <c r="D48" s="1">
        <f t="shared" si="0"/>
        <v>44</v>
      </c>
      <c r="E48" s="1" t="s">
        <v>156</v>
      </c>
      <c r="F48" s="1" t="s">
        <v>118</v>
      </c>
      <c r="G48" s="1"/>
      <c r="H48" s="1"/>
      <c r="I48" s="1" t="s">
        <v>147</v>
      </c>
      <c r="J48" s="1" t="s">
        <v>66</v>
      </c>
      <c r="K48" s="1"/>
      <c r="L48" s="1" t="s">
        <v>77</v>
      </c>
      <c r="M48" s="1"/>
      <c r="N48" s="1"/>
      <c r="O48" s="1"/>
      <c r="P48" s="1"/>
      <c r="Q48" s="1"/>
      <c r="R48" s="1"/>
      <c r="S48" s="1"/>
      <c r="T48" s="1"/>
      <c r="U48" s="4"/>
      <c r="V48" s="1" t="s">
        <v>79</v>
      </c>
      <c r="W48" s="1" t="s">
        <v>120</v>
      </c>
      <c r="X48" s="1" t="s">
        <v>81</v>
      </c>
      <c r="Y48" s="1"/>
      <c r="Z48" s="1"/>
      <c r="AA48" s="1"/>
      <c r="AB48" s="1"/>
      <c r="AC48" s="1"/>
      <c r="AD48" s="1"/>
      <c r="AE48" s="1"/>
      <c r="AF48" s="2"/>
      <c r="AG48" s="2"/>
      <c r="AH48" s="2"/>
      <c r="AI48" s="2"/>
      <c r="AJ48" s="2"/>
      <c r="AK48" s="2"/>
      <c r="AL48" s="2"/>
      <c r="AM48" s="2"/>
      <c r="AN48" s="1"/>
      <c r="AO48" s="1"/>
      <c r="AP48" s="2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9" customHeight="1" x14ac:dyDescent="0.3">
      <c r="A49" s="5"/>
      <c r="B49" s="62"/>
      <c r="C49" s="1" t="s">
        <v>153</v>
      </c>
      <c r="D49" s="1">
        <f t="shared" si="0"/>
        <v>45</v>
      </c>
      <c r="E49" s="1" t="s">
        <v>157</v>
      </c>
      <c r="F49" s="1" t="s">
        <v>118</v>
      </c>
      <c r="G49" s="1"/>
      <c r="H49" s="1"/>
      <c r="I49" s="1" t="s">
        <v>147</v>
      </c>
      <c r="J49" s="1" t="s">
        <v>66</v>
      </c>
      <c r="K49" s="1"/>
      <c r="L49" s="1" t="s">
        <v>77</v>
      </c>
      <c r="M49" s="1"/>
      <c r="N49" s="1"/>
      <c r="O49" s="1"/>
      <c r="P49" s="1"/>
      <c r="Q49" s="1"/>
      <c r="R49" s="1"/>
      <c r="S49" s="1"/>
      <c r="T49" s="1"/>
      <c r="U49" s="4"/>
      <c r="V49" s="1" t="s">
        <v>79</v>
      </c>
      <c r="W49" s="1" t="s">
        <v>120</v>
      </c>
      <c r="X49" s="1" t="s">
        <v>81</v>
      </c>
      <c r="Y49" s="1"/>
      <c r="Z49" s="1"/>
      <c r="AA49" s="1"/>
      <c r="AB49" s="1"/>
      <c r="AC49" s="1"/>
      <c r="AD49" s="1"/>
      <c r="AE49" s="1"/>
      <c r="AF49" s="2"/>
      <c r="AG49" s="2"/>
      <c r="AH49" s="2"/>
      <c r="AI49" s="2"/>
      <c r="AJ49" s="2"/>
      <c r="AK49" s="2"/>
      <c r="AL49" s="2"/>
      <c r="AM49" s="2"/>
      <c r="AN49" s="1"/>
      <c r="AO49" s="1"/>
      <c r="AP49" s="2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9" customHeight="1" x14ac:dyDescent="0.3">
      <c r="A50" s="5"/>
      <c r="B50" s="62"/>
      <c r="C50" s="1" t="s">
        <v>145</v>
      </c>
      <c r="D50" s="1">
        <f t="shared" si="0"/>
        <v>46</v>
      </c>
      <c r="E50" s="1" t="s">
        <v>146</v>
      </c>
      <c r="F50" s="1" t="s">
        <v>118</v>
      </c>
      <c r="G50" s="1"/>
      <c r="H50" s="1"/>
      <c r="I50" s="1" t="s">
        <v>147</v>
      </c>
      <c r="J50" s="1" t="s">
        <v>66</v>
      </c>
      <c r="K50" s="1"/>
      <c r="L50" s="1" t="s">
        <v>77</v>
      </c>
      <c r="M50" s="1"/>
      <c r="N50" s="1"/>
      <c r="O50" s="1"/>
      <c r="P50" s="1"/>
      <c r="Q50" s="1"/>
      <c r="R50" s="1"/>
      <c r="S50" s="1"/>
      <c r="T50" s="1"/>
      <c r="U50" s="4"/>
      <c r="V50" s="1" t="s">
        <v>79</v>
      </c>
      <c r="W50" s="1" t="s">
        <v>120</v>
      </c>
      <c r="X50" s="1" t="s">
        <v>81</v>
      </c>
      <c r="Y50" s="1"/>
      <c r="Z50" s="1"/>
      <c r="AA50" s="1"/>
      <c r="AB50" s="1"/>
      <c r="AC50" s="1"/>
      <c r="AD50" s="1"/>
      <c r="AE50" s="1"/>
      <c r="AF50" s="2"/>
      <c r="AG50" s="2"/>
      <c r="AH50" s="2"/>
      <c r="AI50" s="2"/>
      <c r="AJ50" s="2"/>
      <c r="AK50" s="2"/>
      <c r="AL50" s="2"/>
      <c r="AM50" s="2"/>
      <c r="AN50" s="1"/>
      <c r="AO50" s="1"/>
      <c r="AP50" s="2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9" customHeight="1" x14ac:dyDescent="0.3">
      <c r="A51" s="5"/>
      <c r="B51" s="62"/>
      <c r="C51" s="1" t="s">
        <v>145</v>
      </c>
      <c r="D51" s="1">
        <f t="shared" si="0"/>
        <v>47</v>
      </c>
      <c r="E51" s="1" t="s">
        <v>149</v>
      </c>
      <c r="F51" s="1" t="s">
        <v>118</v>
      </c>
      <c r="G51" s="1"/>
      <c r="H51" s="1"/>
      <c r="I51" s="1" t="s">
        <v>147</v>
      </c>
      <c r="J51" s="1" t="s">
        <v>66</v>
      </c>
      <c r="K51" s="1"/>
      <c r="L51" s="1" t="s">
        <v>77</v>
      </c>
      <c r="M51" s="1"/>
      <c r="N51" s="1"/>
      <c r="O51" s="1"/>
      <c r="P51" s="1"/>
      <c r="Q51" s="1"/>
      <c r="R51" s="1"/>
      <c r="S51" s="1"/>
      <c r="T51" s="1"/>
      <c r="U51" s="4"/>
      <c r="V51" s="1" t="s">
        <v>79</v>
      </c>
      <c r="W51" s="1" t="s">
        <v>120</v>
      </c>
      <c r="X51" s="1" t="s">
        <v>81</v>
      </c>
      <c r="Y51" s="1"/>
      <c r="Z51" s="1"/>
      <c r="AA51" s="1"/>
      <c r="AB51" s="1"/>
      <c r="AC51" s="1"/>
      <c r="AD51" s="1"/>
      <c r="AE51" s="1"/>
      <c r="AF51" s="2"/>
      <c r="AG51" s="2"/>
      <c r="AH51" s="2"/>
      <c r="AI51" s="2"/>
      <c r="AJ51" s="2"/>
      <c r="AK51" s="2"/>
      <c r="AL51" s="2"/>
      <c r="AM51" s="2"/>
      <c r="AN51" s="1"/>
      <c r="AO51" s="1"/>
      <c r="AP51" s="2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9" customHeight="1" x14ac:dyDescent="0.3">
      <c r="A52" s="5"/>
      <c r="B52" s="62" t="s">
        <v>158</v>
      </c>
      <c r="C52" s="1" t="s">
        <v>159</v>
      </c>
      <c r="D52" s="1">
        <f t="shared" si="0"/>
        <v>48</v>
      </c>
      <c r="E52" s="1" t="s">
        <v>160</v>
      </c>
      <c r="F52" s="1" t="s">
        <v>161</v>
      </c>
      <c r="G52" s="1"/>
      <c r="H52" s="1" t="s">
        <v>162</v>
      </c>
      <c r="I52" s="1"/>
      <c r="J52" s="1" t="s">
        <v>66</v>
      </c>
      <c r="K52" s="1"/>
      <c r="L52" s="1" t="s">
        <v>77</v>
      </c>
      <c r="M52" s="1"/>
      <c r="N52" s="1"/>
      <c r="O52" s="1"/>
      <c r="P52" s="1"/>
      <c r="Q52" s="1"/>
      <c r="R52" s="1"/>
      <c r="S52" s="1"/>
      <c r="T52" s="1"/>
      <c r="U52" s="4"/>
      <c r="V52" s="1" t="s">
        <v>163</v>
      </c>
      <c r="W52" s="1"/>
      <c r="X52" s="1"/>
      <c r="Y52" s="1"/>
      <c r="Z52" s="1"/>
      <c r="AA52" s="1"/>
      <c r="AB52" s="1"/>
      <c r="AC52" s="1"/>
      <c r="AD52" s="1"/>
      <c r="AE52" s="1"/>
      <c r="AF52" s="2"/>
      <c r="AG52" s="2"/>
      <c r="AH52" s="2"/>
      <c r="AI52" s="2"/>
      <c r="AJ52" s="2"/>
      <c r="AK52" s="2"/>
      <c r="AL52" s="2"/>
      <c r="AM52" s="2"/>
      <c r="AN52" s="1"/>
      <c r="AO52" s="1"/>
      <c r="AP52" s="2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9" customHeight="1" x14ac:dyDescent="0.3">
      <c r="A53" s="5"/>
      <c r="B53" s="62"/>
      <c r="C53" s="1" t="s">
        <v>164</v>
      </c>
      <c r="D53" s="1">
        <f t="shared" si="0"/>
        <v>49</v>
      </c>
      <c r="E53" s="1" t="s">
        <v>165</v>
      </c>
      <c r="F53" s="1" t="s">
        <v>161</v>
      </c>
      <c r="G53" s="1" t="s">
        <v>90</v>
      </c>
      <c r="H53" s="1" t="s">
        <v>64</v>
      </c>
      <c r="I53" s="1" t="s">
        <v>147</v>
      </c>
      <c r="J53" s="1" t="s">
        <v>66</v>
      </c>
      <c r="K53" s="1" t="s">
        <v>165</v>
      </c>
      <c r="L53" s="1" t="s">
        <v>77</v>
      </c>
      <c r="M53" s="1"/>
      <c r="N53" s="1"/>
      <c r="O53" s="1"/>
      <c r="P53" s="1"/>
      <c r="Q53" s="1"/>
      <c r="R53" s="1"/>
      <c r="S53" s="1"/>
      <c r="T53" s="1"/>
      <c r="U53" s="4" t="s">
        <v>166</v>
      </c>
      <c r="V53" s="1" t="s">
        <v>163</v>
      </c>
      <c r="W53" s="1" t="s">
        <v>167</v>
      </c>
      <c r="X53" s="1" t="s">
        <v>72</v>
      </c>
      <c r="Y53" s="1"/>
      <c r="Z53" s="1"/>
      <c r="AA53" s="6">
        <v>44927</v>
      </c>
      <c r="AB53" s="1"/>
      <c r="AC53" s="1"/>
      <c r="AD53" s="1"/>
      <c r="AE53" s="1"/>
      <c r="AF53" s="2"/>
      <c r="AG53" s="2">
        <v>3</v>
      </c>
      <c r="AH53" s="7">
        <v>44928</v>
      </c>
      <c r="AI53" s="7">
        <v>44930</v>
      </c>
      <c r="AJ53" s="2"/>
      <c r="AK53" s="2"/>
      <c r="AL53" s="2"/>
      <c r="AM53" s="2"/>
      <c r="AN53" s="1"/>
      <c r="AO53" s="1"/>
      <c r="AP53" s="2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9" customHeight="1" x14ac:dyDescent="0.3">
      <c r="A54" s="5"/>
      <c r="B54" s="62"/>
      <c r="C54" s="1" t="s">
        <v>164</v>
      </c>
      <c r="D54" s="1">
        <f t="shared" si="0"/>
        <v>50</v>
      </c>
      <c r="E54" s="1" t="s">
        <v>168</v>
      </c>
      <c r="F54" s="1" t="s">
        <v>161</v>
      </c>
      <c r="G54" s="1" t="s">
        <v>90</v>
      </c>
      <c r="H54" s="1" t="s">
        <v>64</v>
      </c>
      <c r="I54" s="1" t="s">
        <v>147</v>
      </c>
      <c r="J54" s="1" t="s">
        <v>66</v>
      </c>
      <c r="K54" s="1" t="s">
        <v>168</v>
      </c>
      <c r="L54" s="1" t="s">
        <v>77</v>
      </c>
      <c r="M54" s="1"/>
      <c r="N54" s="1"/>
      <c r="O54" s="1"/>
      <c r="P54" s="1"/>
      <c r="Q54" s="1"/>
      <c r="R54" s="1"/>
      <c r="S54" s="1"/>
      <c r="T54" s="1"/>
      <c r="U54" s="4" t="s">
        <v>169</v>
      </c>
      <c r="V54" s="1" t="s">
        <v>163</v>
      </c>
      <c r="W54" s="1" t="s">
        <v>167</v>
      </c>
      <c r="X54" s="1" t="s">
        <v>72</v>
      </c>
      <c r="Y54" s="1"/>
      <c r="Z54" s="1"/>
      <c r="AA54" s="6">
        <v>44927</v>
      </c>
      <c r="AB54" s="1"/>
      <c r="AC54" s="1"/>
      <c r="AD54" s="1"/>
      <c r="AE54" s="1"/>
      <c r="AF54" s="2"/>
      <c r="AG54" s="2">
        <v>3</v>
      </c>
      <c r="AH54" s="7">
        <v>44931</v>
      </c>
      <c r="AI54" s="7">
        <v>44935</v>
      </c>
      <c r="AJ54" s="2"/>
      <c r="AK54" s="2"/>
      <c r="AL54" s="2"/>
      <c r="AM54" s="2"/>
      <c r="AN54" s="1"/>
      <c r="AO54" s="1"/>
      <c r="AP54" s="2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9" customHeight="1" x14ac:dyDescent="0.3">
      <c r="A55" s="5"/>
      <c r="B55" s="62"/>
      <c r="C55" s="1"/>
      <c r="D55" s="1">
        <f t="shared" si="0"/>
        <v>51</v>
      </c>
      <c r="E55" s="1" t="s">
        <v>170</v>
      </c>
      <c r="F55" s="1" t="s">
        <v>161</v>
      </c>
      <c r="G55" s="1" t="s">
        <v>76</v>
      </c>
      <c r="H55" s="1" t="s">
        <v>64</v>
      </c>
      <c r="I55" s="1" t="s">
        <v>147</v>
      </c>
      <c r="J55" s="1" t="s">
        <v>66</v>
      </c>
      <c r="K55" s="1"/>
      <c r="L55" s="1" t="s">
        <v>77</v>
      </c>
      <c r="M55" s="1"/>
      <c r="N55" s="1"/>
      <c r="O55" s="1"/>
      <c r="P55" s="1"/>
      <c r="Q55" s="1"/>
      <c r="R55" s="1"/>
      <c r="S55" s="1"/>
      <c r="T55" s="1"/>
      <c r="U55" s="4"/>
      <c r="V55" s="1" t="s">
        <v>163</v>
      </c>
      <c r="W55" s="1"/>
      <c r="X55" s="1"/>
      <c r="Y55" s="1"/>
      <c r="Z55" s="1"/>
      <c r="AA55" s="6">
        <v>44927</v>
      </c>
      <c r="AB55" s="1"/>
      <c r="AC55" s="1"/>
      <c r="AD55" s="1"/>
      <c r="AE55" s="1"/>
      <c r="AF55" s="2"/>
      <c r="AG55" s="2"/>
      <c r="AH55" s="2"/>
      <c r="AI55" s="2"/>
      <c r="AJ55" s="2"/>
      <c r="AK55" s="2"/>
      <c r="AL55" s="2"/>
      <c r="AM55" s="2"/>
      <c r="AN55" s="1"/>
      <c r="AO55" s="1"/>
      <c r="AP55" s="2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9" customHeight="1" x14ac:dyDescent="0.3">
      <c r="A56" s="5"/>
      <c r="B56" s="62"/>
      <c r="C56" s="1"/>
      <c r="D56" s="1">
        <f t="shared" si="0"/>
        <v>52</v>
      </c>
      <c r="E56" s="1" t="s">
        <v>171</v>
      </c>
      <c r="F56" s="1" t="s">
        <v>161</v>
      </c>
      <c r="G56" s="1" t="s">
        <v>90</v>
      </c>
      <c r="H56" s="1" t="s">
        <v>64</v>
      </c>
      <c r="I56" s="1" t="s">
        <v>65</v>
      </c>
      <c r="J56" s="1" t="s">
        <v>66</v>
      </c>
      <c r="K56" s="1" t="s">
        <v>171</v>
      </c>
      <c r="L56" s="1" t="s">
        <v>77</v>
      </c>
      <c r="M56" s="1"/>
      <c r="N56" s="1"/>
      <c r="O56" s="1"/>
      <c r="P56" s="1"/>
      <c r="Q56" s="1"/>
      <c r="R56" s="1"/>
      <c r="S56" s="1"/>
      <c r="T56" s="1"/>
      <c r="U56" s="4" t="s">
        <v>172</v>
      </c>
      <c r="V56" s="1" t="s">
        <v>163</v>
      </c>
      <c r="W56" s="1" t="s">
        <v>167</v>
      </c>
      <c r="X56" s="1" t="s">
        <v>72</v>
      </c>
      <c r="Y56" s="1"/>
      <c r="Z56" s="1"/>
      <c r="AA56" s="6">
        <v>44866</v>
      </c>
      <c r="AB56" s="1"/>
      <c r="AC56" s="1"/>
      <c r="AD56" s="1"/>
      <c r="AE56" s="1"/>
      <c r="AF56" s="2"/>
      <c r="AG56" s="2">
        <v>5</v>
      </c>
      <c r="AH56" s="7">
        <v>44867</v>
      </c>
      <c r="AI56" s="7">
        <v>44874</v>
      </c>
      <c r="AJ56" s="2"/>
      <c r="AK56" s="2"/>
      <c r="AL56" s="2"/>
      <c r="AM56" s="2"/>
      <c r="AN56" s="1"/>
      <c r="AO56" s="1"/>
      <c r="AP56" s="2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9" customHeight="1" x14ac:dyDescent="0.3">
      <c r="A57" s="5"/>
      <c r="B57" s="62"/>
      <c r="C57" s="1" t="s">
        <v>164</v>
      </c>
      <c r="D57" s="1">
        <f t="shared" si="0"/>
        <v>53</v>
      </c>
      <c r="E57" s="1" t="s">
        <v>173</v>
      </c>
      <c r="F57" s="1" t="s">
        <v>161</v>
      </c>
      <c r="G57" s="1" t="s">
        <v>90</v>
      </c>
      <c r="H57" s="1" t="s">
        <v>64</v>
      </c>
      <c r="I57" s="1" t="s">
        <v>147</v>
      </c>
      <c r="J57" s="1" t="s">
        <v>66</v>
      </c>
      <c r="K57" s="1" t="s">
        <v>173</v>
      </c>
      <c r="L57" s="1" t="s">
        <v>77</v>
      </c>
      <c r="M57" s="1"/>
      <c r="N57" s="1"/>
      <c r="O57" s="1"/>
      <c r="P57" s="1"/>
      <c r="Q57" s="1"/>
      <c r="R57" s="1"/>
      <c r="S57" s="1"/>
      <c r="T57" s="1"/>
      <c r="U57" s="4" t="s">
        <v>174</v>
      </c>
      <c r="V57" s="1" t="s">
        <v>163</v>
      </c>
      <c r="W57" s="1" t="s">
        <v>167</v>
      </c>
      <c r="X57" s="1" t="s">
        <v>72</v>
      </c>
      <c r="Y57" s="1"/>
      <c r="Z57" s="1"/>
      <c r="AA57" s="6">
        <v>44927</v>
      </c>
      <c r="AB57" s="1"/>
      <c r="AC57" s="1"/>
      <c r="AD57" s="1"/>
      <c r="AE57" s="1"/>
      <c r="AF57" s="2"/>
      <c r="AG57" s="2">
        <v>3</v>
      </c>
      <c r="AH57" s="7">
        <v>44936</v>
      </c>
      <c r="AI57" s="7">
        <v>44938</v>
      </c>
      <c r="AJ57" s="2"/>
      <c r="AK57" s="2"/>
      <c r="AL57" s="2"/>
      <c r="AM57" s="2"/>
      <c r="AN57" s="1"/>
      <c r="AO57" s="1"/>
      <c r="AP57" s="2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9" customHeight="1" x14ac:dyDescent="0.3">
      <c r="A58" s="5"/>
      <c r="B58" s="62"/>
      <c r="C58" s="1"/>
      <c r="D58" s="1">
        <f t="shared" si="0"/>
        <v>54</v>
      </c>
      <c r="E58" s="1" t="s">
        <v>175</v>
      </c>
      <c r="F58" s="1" t="s">
        <v>161</v>
      </c>
      <c r="G58" s="1"/>
      <c r="H58" s="1" t="s">
        <v>162</v>
      </c>
      <c r="I58" s="1"/>
      <c r="J58" s="1" t="s">
        <v>66</v>
      </c>
      <c r="K58" s="1"/>
      <c r="L58" s="1" t="s">
        <v>77</v>
      </c>
      <c r="M58" s="1"/>
      <c r="N58" s="1"/>
      <c r="O58" s="1"/>
      <c r="P58" s="1"/>
      <c r="Q58" s="1"/>
      <c r="R58" s="1"/>
      <c r="S58" s="1"/>
      <c r="T58" s="1"/>
      <c r="U58" s="4"/>
      <c r="V58" s="1" t="s">
        <v>163</v>
      </c>
      <c r="W58" s="1"/>
      <c r="X58" s="1"/>
      <c r="Y58" s="1"/>
      <c r="Z58" s="1"/>
      <c r="AA58" s="1"/>
      <c r="AB58" s="1"/>
      <c r="AC58" s="1"/>
      <c r="AD58" s="1"/>
      <c r="AE58" s="1"/>
      <c r="AF58" s="2"/>
      <c r="AG58" s="2"/>
      <c r="AH58" s="2"/>
      <c r="AI58" s="2"/>
      <c r="AJ58" s="2"/>
      <c r="AK58" s="2"/>
      <c r="AL58" s="2"/>
      <c r="AM58" s="2"/>
      <c r="AN58" s="1"/>
      <c r="AO58" s="1"/>
      <c r="AP58" s="2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9" customHeight="1" x14ac:dyDescent="0.3">
      <c r="A59" s="5"/>
      <c r="B59" s="62"/>
      <c r="C59" s="1"/>
      <c r="D59" s="1">
        <f t="shared" si="0"/>
        <v>55</v>
      </c>
      <c r="E59" s="1" t="s">
        <v>176</v>
      </c>
      <c r="F59" s="1" t="s">
        <v>161</v>
      </c>
      <c r="G59" s="1"/>
      <c r="H59" s="1" t="s">
        <v>162</v>
      </c>
      <c r="I59" s="1"/>
      <c r="J59" s="1" t="s">
        <v>66</v>
      </c>
      <c r="K59" s="1"/>
      <c r="L59" s="1" t="s">
        <v>77</v>
      </c>
      <c r="M59" s="1"/>
      <c r="N59" s="1"/>
      <c r="O59" s="1"/>
      <c r="P59" s="1"/>
      <c r="Q59" s="1"/>
      <c r="R59" s="1"/>
      <c r="S59" s="1"/>
      <c r="T59" s="1"/>
      <c r="U59" s="4"/>
      <c r="V59" s="1" t="s">
        <v>163</v>
      </c>
      <c r="W59" s="1"/>
      <c r="X59" s="1"/>
      <c r="Y59" s="1"/>
      <c r="Z59" s="1"/>
      <c r="AA59" s="1"/>
      <c r="AB59" s="1"/>
      <c r="AC59" s="1"/>
      <c r="AD59" s="1"/>
      <c r="AE59" s="1"/>
      <c r="AF59" s="2"/>
      <c r="AG59" s="2"/>
      <c r="AH59" s="2"/>
      <c r="AI59" s="2"/>
      <c r="AJ59" s="2"/>
      <c r="AK59" s="2"/>
      <c r="AL59" s="2"/>
      <c r="AM59" s="2"/>
      <c r="AN59" s="1"/>
      <c r="AO59" s="1"/>
      <c r="AP59" s="2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9" customHeight="1" x14ac:dyDescent="0.3">
      <c r="A60" s="5"/>
      <c r="B60" s="62"/>
      <c r="C60" s="1"/>
      <c r="D60" s="1">
        <f t="shared" si="0"/>
        <v>56</v>
      </c>
      <c r="E60" s="1" t="s">
        <v>177</v>
      </c>
      <c r="F60" s="1" t="s">
        <v>161</v>
      </c>
      <c r="G60" s="1" t="s">
        <v>90</v>
      </c>
      <c r="H60" s="1" t="s">
        <v>64</v>
      </c>
      <c r="I60" s="1" t="s">
        <v>65</v>
      </c>
      <c r="J60" s="1" t="s">
        <v>66</v>
      </c>
      <c r="K60" s="1" t="s">
        <v>177</v>
      </c>
      <c r="L60" s="1" t="s">
        <v>77</v>
      </c>
      <c r="M60" s="1"/>
      <c r="N60" s="1"/>
      <c r="O60" s="1"/>
      <c r="P60" s="1"/>
      <c r="Q60" s="1"/>
      <c r="R60" s="1"/>
      <c r="S60" s="1"/>
      <c r="T60" s="1"/>
      <c r="U60" s="4" t="s">
        <v>178</v>
      </c>
      <c r="V60" s="1" t="s">
        <v>163</v>
      </c>
      <c r="W60" s="1" t="s">
        <v>167</v>
      </c>
      <c r="X60" s="1" t="s">
        <v>72</v>
      </c>
      <c r="Y60" s="1"/>
      <c r="Z60" s="1"/>
      <c r="AA60" s="6">
        <v>44866</v>
      </c>
      <c r="AB60" s="1"/>
      <c r="AC60" s="1"/>
      <c r="AD60" s="1"/>
      <c r="AE60" s="1"/>
      <c r="AF60" s="2"/>
      <c r="AG60" s="2"/>
      <c r="AH60" s="2"/>
      <c r="AI60" s="2"/>
      <c r="AJ60" s="2"/>
      <c r="AK60" s="2"/>
      <c r="AL60" s="2"/>
      <c r="AM60" s="2"/>
      <c r="AN60" s="1"/>
      <c r="AO60" s="1"/>
      <c r="AP60" s="2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9" customHeight="1" x14ac:dyDescent="0.3">
      <c r="A61" s="5"/>
      <c r="B61" s="62"/>
      <c r="C61" s="1"/>
      <c r="D61" s="1">
        <f t="shared" si="0"/>
        <v>57</v>
      </c>
      <c r="E61" s="1" t="s">
        <v>179</v>
      </c>
      <c r="F61" s="1" t="s">
        <v>161</v>
      </c>
      <c r="G61" s="1" t="s">
        <v>83</v>
      </c>
      <c r="H61" s="1" t="s">
        <v>64</v>
      </c>
      <c r="I61" s="1" t="s">
        <v>65</v>
      </c>
      <c r="J61" s="1" t="s">
        <v>66</v>
      </c>
      <c r="K61" s="1" t="s">
        <v>179</v>
      </c>
      <c r="L61" s="1" t="s">
        <v>77</v>
      </c>
      <c r="M61" s="1"/>
      <c r="N61" s="1"/>
      <c r="O61" s="1"/>
      <c r="P61" s="1"/>
      <c r="Q61" s="1"/>
      <c r="R61" s="1"/>
      <c r="S61" s="1"/>
      <c r="T61" s="1"/>
      <c r="U61" s="4" t="s">
        <v>180</v>
      </c>
      <c r="V61" s="1" t="s">
        <v>163</v>
      </c>
      <c r="W61" s="1" t="s">
        <v>167</v>
      </c>
      <c r="X61" s="1" t="s">
        <v>72</v>
      </c>
      <c r="Y61" s="1"/>
      <c r="Z61" s="1"/>
      <c r="AA61" s="6">
        <v>44866</v>
      </c>
      <c r="AB61" s="1"/>
      <c r="AC61" s="1"/>
      <c r="AD61" s="1"/>
      <c r="AE61" s="1"/>
      <c r="AF61" s="2"/>
      <c r="AG61" s="2"/>
      <c r="AH61" s="2"/>
      <c r="AI61" s="2"/>
      <c r="AJ61" s="2"/>
      <c r="AK61" s="2"/>
      <c r="AL61" s="2"/>
      <c r="AM61" s="2"/>
      <c r="AN61" s="1"/>
      <c r="AO61" s="1"/>
      <c r="AP61" s="2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9" customHeight="1" x14ac:dyDescent="0.3">
      <c r="A62" s="5"/>
      <c r="B62" s="62"/>
      <c r="C62" s="1"/>
      <c r="D62" s="1">
        <f t="shared" si="0"/>
        <v>58</v>
      </c>
      <c r="E62" s="1" t="s">
        <v>181</v>
      </c>
      <c r="F62" s="1" t="s">
        <v>161</v>
      </c>
      <c r="G62" s="1"/>
      <c r="H62" s="1" t="s">
        <v>162</v>
      </c>
      <c r="I62" s="1"/>
      <c r="J62" s="1" t="s">
        <v>66</v>
      </c>
      <c r="K62" s="1"/>
      <c r="L62" s="1" t="s">
        <v>77</v>
      </c>
      <c r="M62" s="1"/>
      <c r="N62" s="1"/>
      <c r="O62" s="1"/>
      <c r="P62" s="1"/>
      <c r="Q62" s="1"/>
      <c r="R62" s="1"/>
      <c r="S62" s="1"/>
      <c r="T62" s="1"/>
      <c r="U62" s="4"/>
      <c r="V62" s="1" t="s">
        <v>163</v>
      </c>
      <c r="W62" s="1"/>
      <c r="X62" s="1"/>
      <c r="Y62" s="1"/>
      <c r="Z62" s="1"/>
      <c r="AA62" s="1"/>
      <c r="AB62" s="1"/>
      <c r="AC62" s="1"/>
      <c r="AD62" s="1"/>
      <c r="AE62" s="1"/>
      <c r="AF62" s="2"/>
      <c r="AG62" s="2"/>
      <c r="AH62" s="2"/>
      <c r="AI62" s="2"/>
      <c r="AJ62" s="2"/>
      <c r="AK62" s="2"/>
      <c r="AL62" s="2"/>
      <c r="AM62" s="2"/>
      <c r="AN62" s="1"/>
      <c r="AO62" s="1"/>
      <c r="AP62" s="2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9" customHeight="1" x14ac:dyDescent="0.3">
      <c r="A63" s="5"/>
      <c r="B63" s="62"/>
      <c r="C63" s="1" t="s">
        <v>182</v>
      </c>
      <c r="D63" s="1">
        <f t="shared" si="0"/>
        <v>59</v>
      </c>
      <c r="E63" s="1" t="s">
        <v>183</v>
      </c>
      <c r="F63" s="1" t="s">
        <v>161</v>
      </c>
      <c r="G63" s="1"/>
      <c r="H63" s="1" t="s">
        <v>162</v>
      </c>
      <c r="I63" s="1"/>
      <c r="J63" s="1" t="s">
        <v>66</v>
      </c>
      <c r="K63" s="1"/>
      <c r="L63" s="1" t="s">
        <v>77</v>
      </c>
      <c r="M63" s="1"/>
      <c r="N63" s="1"/>
      <c r="O63" s="1"/>
      <c r="P63" s="1"/>
      <c r="Q63" s="1"/>
      <c r="R63" s="1"/>
      <c r="S63" s="1"/>
      <c r="T63" s="1"/>
      <c r="U63" s="4"/>
      <c r="V63" s="1" t="s">
        <v>163</v>
      </c>
      <c r="W63" s="1"/>
      <c r="X63" s="1"/>
      <c r="Y63" s="1"/>
      <c r="Z63" s="1"/>
      <c r="AA63" s="1"/>
      <c r="AB63" s="1"/>
      <c r="AC63" s="1"/>
      <c r="AD63" s="1"/>
      <c r="AE63" s="1"/>
      <c r="AF63" s="2"/>
      <c r="AG63" s="2"/>
      <c r="AH63" s="2"/>
      <c r="AI63" s="2"/>
      <c r="AJ63" s="2"/>
      <c r="AK63" s="2"/>
      <c r="AL63" s="2"/>
      <c r="AM63" s="2"/>
      <c r="AN63" s="1"/>
      <c r="AO63" s="1"/>
      <c r="AP63" s="2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9" customHeight="1" x14ac:dyDescent="0.3">
      <c r="A64" s="5"/>
      <c r="B64" s="62"/>
      <c r="C64" s="1" t="s">
        <v>184</v>
      </c>
      <c r="D64" s="1">
        <f t="shared" si="0"/>
        <v>60</v>
      </c>
      <c r="E64" s="1" t="s">
        <v>185</v>
      </c>
      <c r="F64" s="1" t="s">
        <v>186</v>
      </c>
      <c r="G64" s="1"/>
      <c r="H64" s="1"/>
      <c r="I64" s="1"/>
      <c r="J64" s="1" t="s">
        <v>66</v>
      </c>
      <c r="K64" s="1"/>
      <c r="L64" s="1" t="s">
        <v>77</v>
      </c>
      <c r="M64" s="1"/>
      <c r="N64" s="1"/>
      <c r="O64" s="1"/>
      <c r="P64" s="1"/>
      <c r="Q64" s="1"/>
      <c r="R64" s="1"/>
      <c r="S64" s="1"/>
      <c r="T64" s="1"/>
      <c r="U64" s="4"/>
      <c r="V64" s="1" t="s">
        <v>70</v>
      </c>
      <c r="W64" s="1"/>
      <c r="X64" s="1"/>
      <c r="Y64" s="1"/>
      <c r="Z64" s="1"/>
      <c r="AA64" s="1"/>
      <c r="AB64" s="1"/>
      <c r="AC64" s="1"/>
      <c r="AD64" s="1"/>
      <c r="AE64" s="1"/>
      <c r="AF64" s="2"/>
      <c r="AG64" s="2"/>
      <c r="AH64" s="2"/>
      <c r="AI64" s="2"/>
      <c r="AJ64" s="2"/>
      <c r="AK64" s="2"/>
      <c r="AL64" s="2"/>
      <c r="AM64" s="2"/>
      <c r="AN64" s="1"/>
      <c r="AO64" s="1"/>
      <c r="AP64" s="2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9" customHeight="1" x14ac:dyDescent="0.3">
      <c r="A65" s="5"/>
      <c r="B65" s="62"/>
      <c r="C65" s="1" t="s">
        <v>184</v>
      </c>
      <c r="D65" s="1">
        <f t="shared" si="0"/>
        <v>61</v>
      </c>
      <c r="E65" s="1" t="s">
        <v>187</v>
      </c>
      <c r="F65" s="1" t="s">
        <v>186</v>
      </c>
      <c r="G65" s="1"/>
      <c r="H65" s="1"/>
      <c r="I65" s="1"/>
      <c r="J65" s="1" t="s">
        <v>66</v>
      </c>
      <c r="K65" s="1"/>
      <c r="L65" s="1" t="s">
        <v>77</v>
      </c>
      <c r="M65" s="1"/>
      <c r="N65" s="1"/>
      <c r="O65" s="1"/>
      <c r="P65" s="1"/>
      <c r="Q65" s="1"/>
      <c r="R65" s="1"/>
      <c r="S65" s="1"/>
      <c r="T65" s="1"/>
      <c r="U65" s="4"/>
      <c r="V65" s="1" t="s">
        <v>70</v>
      </c>
      <c r="W65" s="1"/>
      <c r="X65" s="1"/>
      <c r="Y65" s="1"/>
      <c r="Z65" s="1"/>
      <c r="AA65" s="1"/>
      <c r="AB65" s="1"/>
      <c r="AC65" s="1"/>
      <c r="AD65" s="1"/>
      <c r="AE65" s="1"/>
      <c r="AF65" s="2"/>
      <c r="AG65" s="2"/>
      <c r="AH65" s="2"/>
      <c r="AI65" s="2"/>
      <c r="AJ65" s="2"/>
      <c r="AK65" s="2"/>
      <c r="AL65" s="2"/>
      <c r="AM65" s="2"/>
      <c r="AN65" s="1"/>
      <c r="AO65" s="1"/>
      <c r="AP65" s="2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9" customHeight="1" x14ac:dyDescent="0.3">
      <c r="A66" s="5"/>
      <c r="B66" s="62"/>
      <c r="C66" s="1" t="s">
        <v>184</v>
      </c>
      <c r="D66" s="1">
        <f t="shared" si="0"/>
        <v>62</v>
      </c>
      <c r="E66" s="1" t="s">
        <v>188</v>
      </c>
      <c r="F66" s="1" t="s">
        <v>186</v>
      </c>
      <c r="G66" s="1"/>
      <c r="H66" s="1"/>
      <c r="I66" s="1"/>
      <c r="J66" s="1" t="s">
        <v>66</v>
      </c>
      <c r="K66" s="1"/>
      <c r="L66" s="1" t="s">
        <v>77</v>
      </c>
      <c r="M66" s="1"/>
      <c r="N66" s="1"/>
      <c r="O66" s="1"/>
      <c r="P66" s="1"/>
      <c r="Q66" s="1"/>
      <c r="R66" s="1"/>
      <c r="S66" s="1"/>
      <c r="T66" s="1"/>
      <c r="U66" s="4"/>
      <c r="V66" s="1" t="s">
        <v>70</v>
      </c>
      <c r="W66" s="1"/>
      <c r="X66" s="1"/>
      <c r="Y66" s="1"/>
      <c r="Z66" s="1"/>
      <c r="AA66" s="1"/>
      <c r="AB66" s="1"/>
      <c r="AC66" s="1"/>
      <c r="AD66" s="1"/>
      <c r="AE66" s="1"/>
      <c r="AF66" s="2"/>
      <c r="AG66" s="2"/>
      <c r="AH66" s="2"/>
      <c r="AI66" s="2"/>
      <c r="AJ66" s="2"/>
      <c r="AK66" s="2"/>
      <c r="AL66" s="2"/>
      <c r="AM66" s="2"/>
      <c r="AN66" s="1"/>
      <c r="AO66" s="1"/>
      <c r="AP66" s="2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9" customHeight="1" x14ac:dyDescent="0.3">
      <c r="A67" s="5"/>
      <c r="B67" s="62"/>
      <c r="C67" s="1" t="s">
        <v>184</v>
      </c>
      <c r="D67" s="1">
        <f t="shared" si="0"/>
        <v>63</v>
      </c>
      <c r="E67" s="1" t="s">
        <v>189</v>
      </c>
      <c r="F67" s="1" t="s">
        <v>186</v>
      </c>
      <c r="G67" s="1"/>
      <c r="H67" s="1"/>
      <c r="I67" s="1"/>
      <c r="J67" s="1" t="s">
        <v>66</v>
      </c>
      <c r="K67" s="1"/>
      <c r="L67" s="1" t="s">
        <v>77</v>
      </c>
      <c r="M67" s="1"/>
      <c r="N67" s="1"/>
      <c r="O67" s="1"/>
      <c r="P67" s="1"/>
      <c r="Q67" s="1"/>
      <c r="R67" s="1"/>
      <c r="S67" s="1"/>
      <c r="T67" s="1"/>
      <c r="U67" s="4"/>
      <c r="V67" s="1" t="s">
        <v>70</v>
      </c>
      <c r="W67" s="1"/>
      <c r="X67" s="1"/>
      <c r="Y67" s="1"/>
      <c r="Z67" s="1"/>
      <c r="AA67" s="1"/>
      <c r="AB67" s="1"/>
      <c r="AC67" s="1"/>
      <c r="AD67" s="1"/>
      <c r="AE67" s="1"/>
      <c r="AF67" s="2"/>
      <c r="AG67" s="2"/>
      <c r="AH67" s="2"/>
      <c r="AI67" s="2"/>
      <c r="AJ67" s="2"/>
      <c r="AK67" s="2"/>
      <c r="AL67" s="2"/>
      <c r="AM67" s="2"/>
      <c r="AN67" s="1"/>
      <c r="AO67" s="1"/>
      <c r="AP67" s="2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9" customHeight="1" x14ac:dyDescent="0.3">
      <c r="A68" s="5"/>
      <c r="B68" s="62"/>
      <c r="C68" s="1" t="s">
        <v>190</v>
      </c>
      <c r="D68" s="1">
        <f t="shared" si="0"/>
        <v>64</v>
      </c>
      <c r="E68" s="1" t="s">
        <v>191</v>
      </c>
      <c r="F68" s="1" t="s">
        <v>161</v>
      </c>
      <c r="G68" s="1"/>
      <c r="H68" s="1" t="s">
        <v>162</v>
      </c>
      <c r="I68" s="1"/>
      <c r="J68" s="1" t="s">
        <v>66</v>
      </c>
      <c r="K68" s="1"/>
      <c r="L68" s="1" t="s">
        <v>77</v>
      </c>
      <c r="M68" s="1"/>
      <c r="N68" s="1"/>
      <c r="O68" s="1"/>
      <c r="P68" s="1"/>
      <c r="Q68" s="1"/>
      <c r="R68" s="1"/>
      <c r="S68" s="1"/>
      <c r="T68" s="1"/>
      <c r="U68" s="4"/>
      <c r="V68" s="1" t="s">
        <v>163</v>
      </c>
      <c r="W68" s="1"/>
      <c r="X68" s="1"/>
      <c r="Y68" s="1"/>
      <c r="Z68" s="1"/>
      <c r="AA68" s="1"/>
      <c r="AB68" s="1"/>
      <c r="AC68" s="1"/>
      <c r="AD68" s="1"/>
      <c r="AE68" s="1"/>
      <c r="AF68" s="2"/>
      <c r="AG68" s="2"/>
      <c r="AH68" s="2"/>
      <c r="AI68" s="2"/>
      <c r="AJ68" s="2"/>
      <c r="AK68" s="2"/>
      <c r="AL68" s="2"/>
      <c r="AM68" s="2"/>
      <c r="AN68" s="1"/>
      <c r="AO68" s="1"/>
      <c r="AP68" s="2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9" customHeight="1" x14ac:dyDescent="0.3">
      <c r="A69" s="5"/>
      <c r="B69" s="62"/>
      <c r="C69" s="1" t="s">
        <v>192</v>
      </c>
      <c r="D69" s="1">
        <f t="shared" ref="D69:D132" si="2">ROW()-4</f>
        <v>65</v>
      </c>
      <c r="E69" s="1" t="s">
        <v>193</v>
      </c>
      <c r="F69" s="1" t="s">
        <v>161</v>
      </c>
      <c r="G69" s="1" t="s">
        <v>90</v>
      </c>
      <c r="H69" s="1" t="s">
        <v>64</v>
      </c>
      <c r="I69" s="1" t="s">
        <v>65</v>
      </c>
      <c r="J69" s="1" t="s">
        <v>66</v>
      </c>
      <c r="K69" s="1" t="s">
        <v>193</v>
      </c>
      <c r="L69" s="1" t="s">
        <v>77</v>
      </c>
      <c r="M69" s="1"/>
      <c r="N69" s="1"/>
      <c r="O69" s="1"/>
      <c r="P69" s="1"/>
      <c r="Q69" s="1"/>
      <c r="R69" s="1"/>
      <c r="S69" s="1"/>
      <c r="T69" s="1"/>
      <c r="U69" s="4" t="s">
        <v>194</v>
      </c>
      <c r="V69" s="1" t="s">
        <v>163</v>
      </c>
      <c r="W69" s="1" t="s">
        <v>167</v>
      </c>
      <c r="X69" s="1" t="s">
        <v>72</v>
      </c>
      <c r="Y69" s="1"/>
      <c r="Z69" s="1"/>
      <c r="AA69" s="6">
        <v>44866</v>
      </c>
      <c r="AB69" s="1"/>
      <c r="AC69" s="1"/>
      <c r="AD69" s="1"/>
      <c r="AE69" s="1"/>
      <c r="AF69" s="2"/>
      <c r="AG69" s="2">
        <v>3</v>
      </c>
      <c r="AH69" s="7">
        <v>44875</v>
      </c>
      <c r="AI69" s="7">
        <v>44879</v>
      </c>
      <c r="AJ69" s="2"/>
      <c r="AK69" s="2"/>
      <c r="AL69" s="2"/>
      <c r="AM69" s="2"/>
      <c r="AN69" s="1"/>
      <c r="AO69" s="1"/>
      <c r="AP69" s="2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9" customHeight="1" x14ac:dyDescent="0.3">
      <c r="A70" s="5"/>
      <c r="B70" s="62"/>
      <c r="C70" s="1" t="s">
        <v>190</v>
      </c>
      <c r="D70" s="1">
        <f t="shared" si="2"/>
        <v>66</v>
      </c>
      <c r="E70" s="1" t="s">
        <v>195</v>
      </c>
      <c r="F70" s="1" t="s">
        <v>161</v>
      </c>
      <c r="G70" s="1"/>
      <c r="H70" s="1" t="s">
        <v>162</v>
      </c>
      <c r="I70" s="1"/>
      <c r="J70" s="1" t="s">
        <v>66</v>
      </c>
      <c r="K70" s="1"/>
      <c r="L70" s="1" t="s">
        <v>77</v>
      </c>
      <c r="M70" s="1"/>
      <c r="N70" s="1"/>
      <c r="O70" s="1"/>
      <c r="P70" s="1"/>
      <c r="Q70" s="1"/>
      <c r="R70" s="1"/>
      <c r="S70" s="1"/>
      <c r="T70" s="1"/>
      <c r="U70" s="4"/>
      <c r="V70" s="1" t="s">
        <v>163</v>
      </c>
      <c r="W70" s="1"/>
      <c r="X70" s="1"/>
      <c r="Y70" s="1"/>
      <c r="Z70" s="1"/>
      <c r="AA70" s="1"/>
      <c r="AB70" s="1"/>
      <c r="AC70" s="1"/>
      <c r="AD70" s="1"/>
      <c r="AE70" s="1"/>
      <c r="AF70" s="2"/>
      <c r="AG70" s="2"/>
      <c r="AH70" s="2"/>
      <c r="AI70" s="2"/>
      <c r="AJ70" s="2"/>
      <c r="AK70" s="2"/>
      <c r="AL70" s="2"/>
      <c r="AM70" s="2"/>
      <c r="AN70" s="1"/>
      <c r="AO70" s="1"/>
      <c r="AP70" s="2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9" customHeight="1" x14ac:dyDescent="0.3">
      <c r="A71" s="5"/>
      <c r="B71" s="62"/>
      <c r="C71" s="1" t="s">
        <v>190</v>
      </c>
      <c r="D71" s="1">
        <f t="shared" si="2"/>
        <v>67</v>
      </c>
      <c r="E71" s="1" t="s">
        <v>196</v>
      </c>
      <c r="F71" s="1" t="s">
        <v>161</v>
      </c>
      <c r="G71" s="1"/>
      <c r="H71" s="1" t="s">
        <v>162</v>
      </c>
      <c r="I71" s="1"/>
      <c r="J71" s="1" t="s">
        <v>66</v>
      </c>
      <c r="K71" s="1"/>
      <c r="L71" s="1" t="s">
        <v>77</v>
      </c>
      <c r="M71" s="1"/>
      <c r="N71" s="1"/>
      <c r="O71" s="1"/>
      <c r="P71" s="1"/>
      <c r="Q71" s="1"/>
      <c r="R71" s="1"/>
      <c r="S71" s="1"/>
      <c r="T71" s="1"/>
      <c r="U71" s="4"/>
      <c r="V71" s="1" t="s">
        <v>163</v>
      </c>
      <c r="W71" s="1"/>
      <c r="X71" s="1"/>
      <c r="Y71" s="1"/>
      <c r="Z71" s="1"/>
      <c r="AA71" s="1"/>
      <c r="AB71" s="1"/>
      <c r="AC71" s="1"/>
      <c r="AD71" s="1"/>
      <c r="AE71" s="1"/>
      <c r="AF71" s="2"/>
      <c r="AG71" s="2"/>
      <c r="AH71" s="2"/>
      <c r="AI71" s="2"/>
      <c r="AJ71" s="2"/>
      <c r="AK71" s="2"/>
      <c r="AL71" s="2"/>
      <c r="AM71" s="2"/>
      <c r="AN71" s="1"/>
      <c r="AO71" s="1"/>
      <c r="AP71" s="2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9" customHeight="1" x14ac:dyDescent="0.3">
      <c r="A72" s="5"/>
      <c r="B72" s="62"/>
      <c r="C72" s="1" t="s">
        <v>197</v>
      </c>
      <c r="D72" s="1">
        <f t="shared" si="2"/>
        <v>68</v>
      </c>
      <c r="E72" s="1" t="s">
        <v>198</v>
      </c>
      <c r="F72" s="1" t="s">
        <v>161</v>
      </c>
      <c r="G72" s="1"/>
      <c r="H72" s="1" t="s">
        <v>162</v>
      </c>
      <c r="I72" s="1"/>
      <c r="J72" s="1" t="s">
        <v>66</v>
      </c>
      <c r="K72" s="1"/>
      <c r="L72" s="1" t="s">
        <v>77</v>
      </c>
      <c r="M72" s="1"/>
      <c r="N72" s="1"/>
      <c r="O72" s="1"/>
      <c r="P72" s="1"/>
      <c r="Q72" s="1"/>
      <c r="R72" s="1"/>
      <c r="S72" s="1"/>
      <c r="T72" s="1"/>
      <c r="U72" s="4"/>
      <c r="V72" s="1" t="s">
        <v>163</v>
      </c>
      <c r="W72" s="1"/>
      <c r="X72" s="1"/>
      <c r="Y72" s="1"/>
      <c r="Z72" s="1"/>
      <c r="AA72" s="1"/>
      <c r="AB72" s="1"/>
      <c r="AC72" s="1"/>
      <c r="AD72" s="1"/>
      <c r="AE72" s="1"/>
      <c r="AF72" s="2"/>
      <c r="AG72" s="2"/>
      <c r="AH72" s="2"/>
      <c r="AI72" s="2"/>
      <c r="AJ72" s="2"/>
      <c r="AK72" s="2"/>
      <c r="AL72" s="2"/>
      <c r="AM72" s="2"/>
      <c r="AN72" s="1"/>
      <c r="AO72" s="1"/>
      <c r="AP72" s="2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9" customHeight="1" x14ac:dyDescent="0.3">
      <c r="A73" s="5"/>
      <c r="B73" s="62"/>
      <c r="C73" s="1" t="s">
        <v>197</v>
      </c>
      <c r="D73" s="1">
        <f t="shared" si="2"/>
        <v>69</v>
      </c>
      <c r="E73" s="1" t="s">
        <v>199</v>
      </c>
      <c r="F73" s="1" t="s">
        <v>161</v>
      </c>
      <c r="G73" s="1"/>
      <c r="H73" s="1" t="s">
        <v>162</v>
      </c>
      <c r="I73" s="1"/>
      <c r="J73" s="1" t="s">
        <v>66</v>
      </c>
      <c r="K73" s="1"/>
      <c r="L73" s="1" t="s">
        <v>77</v>
      </c>
      <c r="M73" s="1"/>
      <c r="N73" s="1"/>
      <c r="O73" s="1"/>
      <c r="P73" s="1"/>
      <c r="Q73" s="1"/>
      <c r="R73" s="1"/>
      <c r="S73" s="1"/>
      <c r="T73" s="1"/>
      <c r="U73" s="4"/>
      <c r="V73" s="1" t="s">
        <v>163</v>
      </c>
      <c r="W73" s="1"/>
      <c r="X73" s="1"/>
      <c r="Y73" s="1"/>
      <c r="Z73" s="1"/>
      <c r="AA73" s="1"/>
      <c r="AB73" s="1"/>
      <c r="AC73" s="1"/>
      <c r="AD73" s="1"/>
      <c r="AE73" s="1"/>
      <c r="AF73" s="2"/>
      <c r="AG73" s="2"/>
      <c r="AH73" s="2"/>
      <c r="AI73" s="2"/>
      <c r="AJ73" s="2"/>
      <c r="AK73" s="2"/>
      <c r="AL73" s="2"/>
      <c r="AM73" s="2"/>
      <c r="AN73" s="1"/>
      <c r="AO73" s="1"/>
      <c r="AP73" s="2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9" customHeight="1" x14ac:dyDescent="0.3">
      <c r="A74" s="5"/>
      <c r="B74" s="62"/>
      <c r="C74" s="1" t="s">
        <v>197</v>
      </c>
      <c r="D74" s="1">
        <f t="shared" si="2"/>
        <v>70</v>
      </c>
      <c r="E74" s="1" t="s">
        <v>200</v>
      </c>
      <c r="F74" s="1" t="s">
        <v>161</v>
      </c>
      <c r="G74" s="1"/>
      <c r="H74" s="1" t="s">
        <v>162</v>
      </c>
      <c r="I74" s="1"/>
      <c r="J74" s="1" t="s">
        <v>66</v>
      </c>
      <c r="K74" s="1"/>
      <c r="L74" s="1" t="s">
        <v>77</v>
      </c>
      <c r="M74" s="1"/>
      <c r="N74" s="1"/>
      <c r="O74" s="1"/>
      <c r="P74" s="1"/>
      <c r="Q74" s="1"/>
      <c r="R74" s="1"/>
      <c r="S74" s="1"/>
      <c r="T74" s="1"/>
      <c r="U74" s="4"/>
      <c r="V74" s="1" t="s">
        <v>163</v>
      </c>
      <c r="W74" s="1"/>
      <c r="X74" s="1"/>
      <c r="Y74" s="1"/>
      <c r="Z74" s="1"/>
      <c r="AA74" s="1"/>
      <c r="AB74" s="1"/>
      <c r="AC74" s="1"/>
      <c r="AD74" s="1"/>
      <c r="AE74" s="1"/>
      <c r="AF74" s="2"/>
      <c r="AG74" s="2"/>
      <c r="AH74" s="2"/>
      <c r="AI74" s="2"/>
      <c r="AJ74" s="2"/>
      <c r="AK74" s="2"/>
      <c r="AL74" s="2"/>
      <c r="AM74" s="2"/>
      <c r="AN74" s="1"/>
      <c r="AO74" s="1"/>
      <c r="AP74" s="2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9" customHeight="1" x14ac:dyDescent="0.3">
      <c r="A75" s="5"/>
      <c r="B75" s="62"/>
      <c r="C75" s="1" t="s">
        <v>197</v>
      </c>
      <c r="D75" s="1">
        <f t="shared" si="2"/>
        <v>71</v>
      </c>
      <c r="E75" s="1" t="s">
        <v>201</v>
      </c>
      <c r="F75" s="1" t="s">
        <v>161</v>
      </c>
      <c r="G75" s="1"/>
      <c r="H75" s="1" t="s">
        <v>162</v>
      </c>
      <c r="I75" s="1"/>
      <c r="J75" s="1" t="s">
        <v>66</v>
      </c>
      <c r="K75" s="1"/>
      <c r="L75" s="1" t="s">
        <v>77</v>
      </c>
      <c r="M75" s="1"/>
      <c r="N75" s="1"/>
      <c r="O75" s="1"/>
      <c r="P75" s="1"/>
      <c r="Q75" s="1"/>
      <c r="R75" s="1"/>
      <c r="S75" s="1"/>
      <c r="T75" s="1"/>
      <c r="U75" s="4"/>
      <c r="V75" s="1" t="s">
        <v>163</v>
      </c>
      <c r="W75" s="1"/>
      <c r="X75" s="1"/>
      <c r="Y75" s="1"/>
      <c r="Z75" s="1"/>
      <c r="AA75" s="1"/>
      <c r="AB75" s="1"/>
      <c r="AC75" s="1"/>
      <c r="AD75" s="1"/>
      <c r="AE75" s="1"/>
      <c r="AF75" s="2"/>
      <c r="AG75" s="2"/>
      <c r="AH75" s="2"/>
      <c r="AI75" s="2"/>
      <c r="AJ75" s="2"/>
      <c r="AK75" s="2"/>
      <c r="AL75" s="2"/>
      <c r="AM75" s="2"/>
      <c r="AN75" s="1"/>
      <c r="AO75" s="1"/>
      <c r="AP75" s="2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9" customHeight="1" x14ac:dyDescent="0.3">
      <c r="A76" s="5"/>
      <c r="B76" s="62"/>
      <c r="C76" s="1" t="s">
        <v>202</v>
      </c>
      <c r="D76" s="1">
        <f t="shared" si="2"/>
        <v>72</v>
      </c>
      <c r="E76" s="1" t="s">
        <v>203</v>
      </c>
      <c r="F76" s="1" t="s">
        <v>161</v>
      </c>
      <c r="G76" s="1" t="s">
        <v>90</v>
      </c>
      <c r="H76" s="1" t="s">
        <v>64</v>
      </c>
      <c r="I76" s="1" t="s">
        <v>65</v>
      </c>
      <c r="J76" s="1" t="s">
        <v>66</v>
      </c>
      <c r="K76" s="1" t="s">
        <v>203</v>
      </c>
      <c r="L76" s="1" t="s">
        <v>77</v>
      </c>
      <c r="M76" s="1"/>
      <c r="N76" s="1"/>
      <c r="O76" s="1"/>
      <c r="P76" s="1"/>
      <c r="Q76" s="1"/>
      <c r="R76" s="1"/>
      <c r="S76" s="1"/>
      <c r="T76" s="1"/>
      <c r="U76" s="4" t="s">
        <v>204</v>
      </c>
      <c r="V76" s="1" t="s">
        <v>163</v>
      </c>
      <c r="W76" s="1" t="s">
        <v>167</v>
      </c>
      <c r="X76" s="1" t="s">
        <v>72</v>
      </c>
      <c r="Y76" s="1"/>
      <c r="Z76" s="1"/>
      <c r="AA76" s="6">
        <v>44866</v>
      </c>
      <c r="AB76" s="1"/>
      <c r="AC76" s="1"/>
      <c r="AD76" s="1"/>
      <c r="AE76" s="1"/>
      <c r="AF76" s="2"/>
      <c r="AG76" s="2">
        <v>2</v>
      </c>
      <c r="AH76" s="7">
        <v>44880</v>
      </c>
      <c r="AI76" s="7">
        <v>44881</v>
      </c>
      <c r="AJ76" s="2"/>
      <c r="AK76" s="2"/>
      <c r="AL76" s="2"/>
      <c r="AM76" s="2"/>
      <c r="AN76" s="1"/>
      <c r="AO76" s="1"/>
      <c r="AP76" s="2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9" customHeight="1" x14ac:dyDescent="0.3">
      <c r="A77" s="5"/>
      <c r="B77" s="62"/>
      <c r="C77" s="1" t="s">
        <v>202</v>
      </c>
      <c r="D77" s="1">
        <f t="shared" si="2"/>
        <v>73</v>
      </c>
      <c r="E77" s="1" t="s">
        <v>205</v>
      </c>
      <c r="F77" s="1" t="s">
        <v>161</v>
      </c>
      <c r="G77" s="1"/>
      <c r="H77" s="1" t="s">
        <v>64</v>
      </c>
      <c r="I77" s="1" t="s">
        <v>65</v>
      </c>
      <c r="J77" s="1" t="s">
        <v>66</v>
      </c>
      <c r="K77" s="1" t="s">
        <v>205</v>
      </c>
      <c r="L77" s="1" t="s">
        <v>77</v>
      </c>
      <c r="M77" s="1"/>
      <c r="N77" s="1"/>
      <c r="O77" s="1"/>
      <c r="P77" s="1"/>
      <c r="Q77" s="1"/>
      <c r="R77" s="1"/>
      <c r="S77" s="1"/>
      <c r="T77" s="1"/>
      <c r="U77" s="4"/>
      <c r="V77" s="1" t="s">
        <v>163</v>
      </c>
      <c r="W77" s="1" t="s">
        <v>167</v>
      </c>
      <c r="X77" s="1" t="s">
        <v>72</v>
      </c>
      <c r="Y77" s="1"/>
      <c r="Z77" s="1"/>
      <c r="AA77" s="6">
        <v>44866</v>
      </c>
      <c r="AB77" s="1"/>
      <c r="AC77" s="1"/>
      <c r="AD77" s="1"/>
      <c r="AE77" s="1"/>
      <c r="AF77" s="2"/>
      <c r="AG77" s="2">
        <v>2</v>
      </c>
      <c r="AH77" s="7">
        <v>44882</v>
      </c>
      <c r="AI77" s="7">
        <v>44883</v>
      </c>
      <c r="AJ77" s="2"/>
      <c r="AK77" s="2"/>
      <c r="AL77" s="2"/>
      <c r="AM77" s="2"/>
      <c r="AN77" s="1"/>
      <c r="AO77" s="1"/>
      <c r="AP77" s="2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9" customHeight="1" x14ac:dyDescent="0.3">
      <c r="A78" s="5"/>
      <c r="B78" s="62"/>
      <c r="C78" s="1" t="s">
        <v>206</v>
      </c>
      <c r="D78" s="1">
        <f t="shared" si="2"/>
        <v>74</v>
      </c>
      <c r="E78" s="1" t="s">
        <v>207</v>
      </c>
      <c r="F78" s="1" t="s">
        <v>161</v>
      </c>
      <c r="G78" s="1"/>
      <c r="H78" s="1" t="s">
        <v>64</v>
      </c>
      <c r="I78" s="1" t="s">
        <v>147</v>
      </c>
      <c r="J78" s="1" t="s">
        <v>66</v>
      </c>
      <c r="K78" s="1"/>
      <c r="L78" s="1" t="s">
        <v>77</v>
      </c>
      <c r="M78" s="1"/>
      <c r="N78" s="1"/>
      <c r="O78" s="1"/>
      <c r="P78" s="1"/>
      <c r="Q78" s="1"/>
      <c r="R78" s="1"/>
      <c r="S78" s="1"/>
      <c r="T78" s="1"/>
      <c r="U78" s="4"/>
      <c r="V78" s="1" t="s">
        <v>79</v>
      </c>
      <c r="W78" s="1" t="s">
        <v>120</v>
      </c>
      <c r="X78" s="1" t="s">
        <v>81</v>
      </c>
      <c r="Y78" s="1"/>
      <c r="Z78" s="1"/>
      <c r="AA78" s="1"/>
      <c r="AB78" s="1"/>
      <c r="AC78" s="1"/>
      <c r="AD78" s="1"/>
      <c r="AE78" s="1"/>
      <c r="AF78" s="2"/>
      <c r="AG78" s="2"/>
      <c r="AH78" s="2"/>
      <c r="AI78" s="2"/>
      <c r="AJ78" s="2"/>
      <c r="AK78" s="2"/>
      <c r="AL78" s="2"/>
      <c r="AM78" s="2"/>
      <c r="AN78" s="1"/>
      <c r="AO78" s="1"/>
      <c r="AP78" s="2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9" customHeight="1" x14ac:dyDescent="0.3">
      <c r="A79" s="5"/>
      <c r="B79" s="62"/>
      <c r="C79" s="1" t="s">
        <v>197</v>
      </c>
      <c r="D79" s="1">
        <f t="shared" si="2"/>
        <v>75</v>
      </c>
      <c r="E79" s="1" t="s">
        <v>208</v>
      </c>
      <c r="F79" s="1" t="s">
        <v>161</v>
      </c>
      <c r="G79" s="1"/>
      <c r="H79" s="1" t="s">
        <v>162</v>
      </c>
      <c r="I79" s="1"/>
      <c r="J79" s="1" t="s">
        <v>66</v>
      </c>
      <c r="K79" s="1"/>
      <c r="L79" s="1" t="s">
        <v>77</v>
      </c>
      <c r="M79" s="1"/>
      <c r="N79" s="1"/>
      <c r="O79" s="1"/>
      <c r="P79" s="1"/>
      <c r="Q79" s="1"/>
      <c r="R79" s="1"/>
      <c r="S79" s="1"/>
      <c r="T79" s="1"/>
      <c r="U79" s="4"/>
      <c r="V79" s="1" t="s">
        <v>163</v>
      </c>
      <c r="W79" s="1"/>
      <c r="X79" s="1"/>
      <c r="Y79" s="1"/>
      <c r="Z79" s="1"/>
      <c r="AA79" s="1"/>
      <c r="AB79" s="1"/>
      <c r="AC79" s="1"/>
      <c r="AD79" s="1"/>
      <c r="AE79" s="1"/>
      <c r="AF79" s="2"/>
      <c r="AG79" s="2"/>
      <c r="AH79" s="2"/>
      <c r="AI79" s="2"/>
      <c r="AJ79" s="2"/>
      <c r="AK79" s="2"/>
      <c r="AL79" s="2"/>
      <c r="AM79" s="2"/>
      <c r="AN79" s="1"/>
      <c r="AO79" s="1"/>
      <c r="AP79" s="2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9" customHeight="1" x14ac:dyDescent="0.3">
      <c r="A80" s="5"/>
      <c r="B80" s="62"/>
      <c r="C80" s="1" t="s">
        <v>192</v>
      </c>
      <c r="D80" s="1">
        <f t="shared" si="2"/>
        <v>76</v>
      </c>
      <c r="E80" s="1" t="s">
        <v>209</v>
      </c>
      <c r="F80" s="1" t="s">
        <v>161</v>
      </c>
      <c r="G80" s="1" t="s">
        <v>90</v>
      </c>
      <c r="H80" s="1" t="s">
        <v>64</v>
      </c>
      <c r="I80" s="1" t="s">
        <v>65</v>
      </c>
      <c r="J80" s="1" t="s">
        <v>66</v>
      </c>
      <c r="K80" s="1"/>
      <c r="L80" s="1" t="s">
        <v>77</v>
      </c>
      <c r="M80" s="1"/>
      <c r="N80" s="1"/>
      <c r="O80" s="1"/>
      <c r="P80" s="1"/>
      <c r="Q80" s="1"/>
      <c r="R80" s="1"/>
      <c r="S80" s="1"/>
      <c r="T80" s="1"/>
      <c r="U80" s="4" t="s">
        <v>210</v>
      </c>
      <c r="V80" s="1" t="s">
        <v>163</v>
      </c>
      <c r="W80" s="1" t="s">
        <v>167</v>
      </c>
      <c r="X80" s="1" t="s">
        <v>72</v>
      </c>
      <c r="Y80" s="1"/>
      <c r="Z80" s="1"/>
      <c r="AA80" s="6">
        <v>44866</v>
      </c>
      <c r="AB80" s="1"/>
      <c r="AC80" s="1"/>
      <c r="AD80" s="1"/>
      <c r="AE80" s="1"/>
      <c r="AF80" s="2"/>
      <c r="AG80" s="2">
        <v>2</v>
      </c>
      <c r="AH80" s="7">
        <v>44886</v>
      </c>
      <c r="AI80" s="7">
        <v>44887</v>
      </c>
      <c r="AJ80" s="2"/>
      <c r="AK80" s="2"/>
      <c r="AL80" s="2"/>
      <c r="AM80" s="2"/>
      <c r="AN80" s="1"/>
      <c r="AO80" s="1"/>
      <c r="AP80" s="2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9" customHeight="1" x14ac:dyDescent="0.3">
      <c r="A81" s="5"/>
      <c r="B81" s="62"/>
      <c r="C81" s="1" t="s">
        <v>192</v>
      </c>
      <c r="D81" s="1">
        <f t="shared" si="2"/>
        <v>77</v>
      </c>
      <c r="E81" s="1" t="s">
        <v>211</v>
      </c>
      <c r="F81" s="1" t="s">
        <v>161</v>
      </c>
      <c r="G81" s="1"/>
      <c r="H81" s="1" t="s">
        <v>162</v>
      </c>
      <c r="I81" s="1"/>
      <c r="J81" s="1" t="s">
        <v>66</v>
      </c>
      <c r="K81" s="1"/>
      <c r="L81" s="1" t="s">
        <v>77</v>
      </c>
      <c r="M81" s="1"/>
      <c r="N81" s="1"/>
      <c r="O81" s="1"/>
      <c r="P81" s="1"/>
      <c r="Q81" s="1"/>
      <c r="R81" s="1"/>
      <c r="S81" s="1"/>
      <c r="T81" s="1"/>
      <c r="U81" s="4"/>
      <c r="V81" s="1" t="s">
        <v>163</v>
      </c>
      <c r="W81" s="1"/>
      <c r="X81" s="1"/>
      <c r="Y81" s="1"/>
      <c r="Z81" s="1"/>
      <c r="AA81" s="1"/>
      <c r="AB81" s="1"/>
      <c r="AC81" s="1"/>
      <c r="AD81" s="1"/>
      <c r="AE81" s="1"/>
      <c r="AF81" s="2"/>
      <c r="AG81" s="2"/>
      <c r="AH81" s="2"/>
      <c r="AI81" s="2"/>
      <c r="AJ81" s="2"/>
      <c r="AK81" s="2"/>
      <c r="AL81" s="2"/>
      <c r="AM81" s="2"/>
      <c r="AN81" s="1"/>
      <c r="AO81" s="1"/>
      <c r="AP81" s="2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9" customHeight="1" x14ac:dyDescent="0.3">
      <c r="A82" s="5"/>
      <c r="B82" s="62"/>
      <c r="C82" s="1" t="s">
        <v>212</v>
      </c>
      <c r="D82" s="1">
        <f t="shared" si="2"/>
        <v>78</v>
      </c>
      <c r="E82" s="1" t="s">
        <v>213</v>
      </c>
      <c r="F82" s="1" t="s">
        <v>161</v>
      </c>
      <c r="G82" s="1" t="s">
        <v>90</v>
      </c>
      <c r="H82" s="1" t="s">
        <v>64</v>
      </c>
      <c r="I82" s="1" t="s">
        <v>65</v>
      </c>
      <c r="J82" s="1" t="s">
        <v>66</v>
      </c>
      <c r="K82" s="1"/>
      <c r="L82" s="1" t="s">
        <v>77</v>
      </c>
      <c r="M82" s="1"/>
      <c r="N82" s="1"/>
      <c r="O82" s="1"/>
      <c r="P82" s="1"/>
      <c r="Q82" s="1"/>
      <c r="R82" s="1"/>
      <c r="S82" s="1"/>
      <c r="T82" s="1"/>
      <c r="U82" s="4" t="s">
        <v>214</v>
      </c>
      <c r="V82" s="1" t="s">
        <v>163</v>
      </c>
      <c r="W82" s="1" t="s">
        <v>215</v>
      </c>
      <c r="X82" s="1" t="s">
        <v>81</v>
      </c>
      <c r="Y82" s="1"/>
      <c r="Z82" s="1"/>
      <c r="AA82" s="6">
        <v>44880</v>
      </c>
      <c r="AB82" s="1"/>
      <c r="AC82" s="1"/>
      <c r="AD82" s="1"/>
      <c r="AE82" s="1"/>
      <c r="AF82" s="2"/>
      <c r="AG82" s="2">
        <v>3</v>
      </c>
      <c r="AH82" s="7">
        <v>44881</v>
      </c>
      <c r="AI82" s="7">
        <v>44883</v>
      </c>
      <c r="AJ82" s="2"/>
      <c r="AK82" s="2"/>
      <c r="AL82" s="2"/>
      <c r="AM82" s="2"/>
      <c r="AN82" s="1"/>
      <c r="AO82" s="1"/>
      <c r="AP82" s="2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9" customHeight="1" x14ac:dyDescent="0.3">
      <c r="A83" s="5"/>
      <c r="B83" s="62"/>
      <c r="C83" s="1" t="s">
        <v>216</v>
      </c>
      <c r="D83" s="1">
        <f t="shared" si="2"/>
        <v>79</v>
      </c>
      <c r="E83" s="1" t="s">
        <v>217</v>
      </c>
      <c r="F83" s="1" t="s">
        <v>161</v>
      </c>
      <c r="G83" s="1" t="s">
        <v>90</v>
      </c>
      <c r="H83" s="1" t="s">
        <v>64</v>
      </c>
      <c r="I83" s="1" t="s">
        <v>65</v>
      </c>
      <c r="J83" s="1" t="s">
        <v>66</v>
      </c>
      <c r="K83" s="1"/>
      <c r="L83" s="1" t="s">
        <v>77</v>
      </c>
      <c r="M83" s="1"/>
      <c r="N83" s="1"/>
      <c r="O83" s="1"/>
      <c r="P83" s="1"/>
      <c r="Q83" s="1"/>
      <c r="R83" s="1"/>
      <c r="S83" s="1"/>
      <c r="T83" s="1"/>
      <c r="U83" s="4" t="s">
        <v>218</v>
      </c>
      <c r="V83" s="1" t="s">
        <v>163</v>
      </c>
      <c r="W83" s="1" t="s">
        <v>215</v>
      </c>
      <c r="X83" s="1" t="s">
        <v>81</v>
      </c>
      <c r="Y83" s="1"/>
      <c r="Z83" s="1"/>
      <c r="AA83" s="6">
        <v>44880</v>
      </c>
      <c r="AB83" s="1"/>
      <c r="AC83" s="1"/>
      <c r="AD83" s="1"/>
      <c r="AE83" s="1"/>
      <c r="AF83" s="2"/>
      <c r="AG83" s="2">
        <v>5</v>
      </c>
      <c r="AH83" s="7">
        <v>44886</v>
      </c>
      <c r="AI83" s="7">
        <v>44890</v>
      </c>
      <c r="AJ83" s="2"/>
      <c r="AK83" s="2"/>
      <c r="AL83" s="2"/>
      <c r="AM83" s="2"/>
      <c r="AN83" s="1"/>
      <c r="AO83" s="1"/>
      <c r="AP83" s="2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9" customHeight="1" x14ac:dyDescent="0.3">
      <c r="A84" s="5"/>
      <c r="B84" s="62"/>
      <c r="C84" s="1" t="s">
        <v>216</v>
      </c>
      <c r="D84" s="1">
        <f t="shared" si="2"/>
        <v>80</v>
      </c>
      <c r="E84" s="1" t="s">
        <v>219</v>
      </c>
      <c r="F84" s="1" t="s">
        <v>161</v>
      </c>
      <c r="G84" s="1" t="s">
        <v>90</v>
      </c>
      <c r="H84" s="1" t="s">
        <v>64</v>
      </c>
      <c r="I84" s="1" t="s">
        <v>65</v>
      </c>
      <c r="J84" s="1" t="s">
        <v>66</v>
      </c>
      <c r="K84" s="1"/>
      <c r="L84" s="1" t="s">
        <v>77</v>
      </c>
      <c r="M84" s="1"/>
      <c r="N84" s="1"/>
      <c r="O84" s="1"/>
      <c r="P84" s="1"/>
      <c r="Q84" s="1"/>
      <c r="R84" s="1"/>
      <c r="S84" s="1"/>
      <c r="T84" s="1"/>
      <c r="U84" s="4" t="s">
        <v>220</v>
      </c>
      <c r="V84" s="1" t="s">
        <v>163</v>
      </c>
      <c r="W84" s="1" t="s">
        <v>215</v>
      </c>
      <c r="X84" s="1" t="s">
        <v>81</v>
      </c>
      <c r="Y84" s="1"/>
      <c r="Z84" s="1"/>
      <c r="AA84" s="6">
        <v>44880</v>
      </c>
      <c r="AB84" s="1"/>
      <c r="AC84" s="1"/>
      <c r="AD84" s="1"/>
      <c r="AE84" s="1"/>
      <c r="AF84" s="2"/>
      <c r="AG84" s="2">
        <v>3</v>
      </c>
      <c r="AH84" s="7">
        <v>44893</v>
      </c>
      <c r="AI84" s="7">
        <v>44895</v>
      </c>
      <c r="AJ84" s="2"/>
      <c r="AK84" s="2"/>
      <c r="AL84" s="2"/>
      <c r="AM84" s="2"/>
      <c r="AN84" s="1"/>
      <c r="AO84" s="1"/>
      <c r="AP84" s="2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9" customHeight="1" x14ac:dyDescent="0.3">
      <c r="A85" s="5"/>
      <c r="B85" s="62"/>
      <c r="C85" s="1" t="s">
        <v>212</v>
      </c>
      <c r="D85" s="1">
        <f t="shared" si="2"/>
        <v>81</v>
      </c>
      <c r="E85" s="1" t="s">
        <v>221</v>
      </c>
      <c r="F85" s="1" t="s">
        <v>161</v>
      </c>
      <c r="G85" s="1" t="s">
        <v>90</v>
      </c>
      <c r="H85" s="1" t="s">
        <v>64</v>
      </c>
      <c r="I85" s="1" t="s">
        <v>147</v>
      </c>
      <c r="J85" s="1" t="s">
        <v>66</v>
      </c>
      <c r="K85" s="1"/>
      <c r="L85" s="1" t="s">
        <v>77</v>
      </c>
      <c r="M85" s="1"/>
      <c r="N85" s="1"/>
      <c r="O85" s="1"/>
      <c r="P85" s="1"/>
      <c r="Q85" s="1"/>
      <c r="R85" s="1"/>
      <c r="S85" s="1"/>
      <c r="T85" s="1"/>
      <c r="U85" s="4"/>
      <c r="V85" s="1" t="s">
        <v>163</v>
      </c>
      <c r="W85" s="1" t="s">
        <v>215</v>
      </c>
      <c r="X85" s="1" t="s">
        <v>81</v>
      </c>
      <c r="Y85" s="1"/>
      <c r="Z85" s="1"/>
      <c r="AA85" s="6">
        <v>44927</v>
      </c>
      <c r="AB85" s="1"/>
      <c r="AC85" s="1"/>
      <c r="AD85" s="1"/>
      <c r="AE85" s="1"/>
      <c r="AF85" s="2"/>
      <c r="AG85" s="2"/>
      <c r="AH85" s="2"/>
      <c r="AI85" s="2"/>
      <c r="AJ85" s="2"/>
      <c r="AK85" s="2"/>
      <c r="AL85" s="2"/>
      <c r="AM85" s="2"/>
      <c r="AN85" s="1"/>
      <c r="AO85" s="1"/>
      <c r="AP85" s="2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9" customHeight="1" x14ac:dyDescent="0.3">
      <c r="A86" s="5"/>
      <c r="B86" s="62"/>
      <c r="C86" s="1" t="s">
        <v>197</v>
      </c>
      <c r="D86" s="1">
        <f t="shared" si="2"/>
        <v>82</v>
      </c>
      <c r="E86" s="1" t="s">
        <v>222</v>
      </c>
      <c r="F86" s="1" t="s">
        <v>161</v>
      </c>
      <c r="G86" s="1"/>
      <c r="H86" s="1" t="s">
        <v>162</v>
      </c>
      <c r="I86" s="1"/>
      <c r="J86" s="1" t="s">
        <v>66</v>
      </c>
      <c r="K86" s="1"/>
      <c r="L86" s="1" t="s">
        <v>77</v>
      </c>
      <c r="M86" s="1"/>
      <c r="N86" s="1"/>
      <c r="O86" s="1"/>
      <c r="P86" s="1"/>
      <c r="Q86" s="1"/>
      <c r="R86" s="1"/>
      <c r="S86" s="1"/>
      <c r="T86" s="1"/>
      <c r="U86" s="4"/>
      <c r="V86" s="1" t="s">
        <v>163</v>
      </c>
      <c r="W86" s="1"/>
      <c r="X86" s="1"/>
      <c r="Y86" s="1"/>
      <c r="Z86" s="1"/>
      <c r="AA86" s="1"/>
      <c r="AB86" s="1"/>
      <c r="AC86" s="1"/>
      <c r="AD86" s="1"/>
      <c r="AE86" s="1"/>
      <c r="AF86" s="2"/>
      <c r="AG86" s="2"/>
      <c r="AH86" s="2"/>
      <c r="AI86" s="2"/>
      <c r="AJ86" s="2"/>
      <c r="AK86" s="2"/>
      <c r="AL86" s="2"/>
      <c r="AM86" s="2"/>
      <c r="AN86" s="1"/>
      <c r="AO86" s="1"/>
      <c r="AP86" s="2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9" customHeight="1" x14ac:dyDescent="0.3">
      <c r="A87" s="5"/>
      <c r="B87" s="62"/>
      <c r="C87" s="1"/>
      <c r="D87" s="1">
        <f t="shared" si="2"/>
        <v>83</v>
      </c>
      <c r="E87" s="1" t="s">
        <v>223</v>
      </c>
      <c r="F87" s="1" t="s">
        <v>161</v>
      </c>
      <c r="G87" s="1"/>
      <c r="H87" s="1" t="s">
        <v>162</v>
      </c>
      <c r="I87" s="1"/>
      <c r="J87" s="1" t="s">
        <v>66</v>
      </c>
      <c r="K87" s="1"/>
      <c r="L87" s="1" t="s">
        <v>77</v>
      </c>
      <c r="M87" s="1"/>
      <c r="N87" s="1"/>
      <c r="O87" s="1"/>
      <c r="P87" s="1"/>
      <c r="Q87" s="1"/>
      <c r="R87" s="1"/>
      <c r="S87" s="1"/>
      <c r="T87" s="1"/>
      <c r="U87" s="4"/>
      <c r="V87" s="1" t="s">
        <v>163</v>
      </c>
      <c r="W87" s="1"/>
      <c r="X87" s="1"/>
      <c r="Y87" s="1"/>
      <c r="Z87" s="1"/>
      <c r="AA87" s="1"/>
      <c r="AB87" s="1"/>
      <c r="AC87" s="1"/>
      <c r="AD87" s="1"/>
      <c r="AE87" s="1"/>
      <c r="AF87" s="2"/>
      <c r="AG87" s="2"/>
      <c r="AH87" s="2"/>
      <c r="AI87" s="2"/>
      <c r="AJ87" s="2"/>
      <c r="AK87" s="2"/>
      <c r="AL87" s="2"/>
      <c r="AM87" s="2"/>
      <c r="AN87" s="1"/>
      <c r="AO87" s="1"/>
      <c r="AP87" s="2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9" customHeight="1" x14ac:dyDescent="0.3">
      <c r="A88" s="5"/>
      <c r="B88" s="62"/>
      <c r="C88" s="1"/>
      <c r="D88" s="1">
        <f t="shared" si="2"/>
        <v>84</v>
      </c>
      <c r="E88" s="1" t="s">
        <v>224</v>
      </c>
      <c r="F88" s="1" t="s">
        <v>161</v>
      </c>
      <c r="G88" s="1"/>
      <c r="H88" s="1" t="s">
        <v>162</v>
      </c>
      <c r="I88" s="1"/>
      <c r="J88" s="1" t="s">
        <v>66</v>
      </c>
      <c r="K88" s="1"/>
      <c r="L88" s="1" t="s">
        <v>77</v>
      </c>
      <c r="M88" s="1"/>
      <c r="N88" s="1"/>
      <c r="O88" s="1"/>
      <c r="P88" s="1"/>
      <c r="Q88" s="1"/>
      <c r="R88" s="1"/>
      <c r="S88" s="1"/>
      <c r="T88" s="1"/>
      <c r="U88" s="4"/>
      <c r="V88" s="1" t="s">
        <v>163</v>
      </c>
      <c r="W88" s="1"/>
      <c r="X88" s="1"/>
      <c r="Y88" s="1"/>
      <c r="Z88" s="1"/>
      <c r="AA88" s="1"/>
      <c r="AB88" s="1"/>
      <c r="AC88" s="1"/>
      <c r="AD88" s="1"/>
      <c r="AE88" s="1"/>
      <c r="AF88" s="2"/>
      <c r="AG88" s="2"/>
      <c r="AH88" s="2"/>
      <c r="AI88" s="2"/>
      <c r="AJ88" s="2"/>
      <c r="AK88" s="2"/>
      <c r="AL88" s="2"/>
      <c r="AM88" s="2"/>
      <c r="AN88" s="1"/>
      <c r="AO88" s="1"/>
      <c r="AP88" s="2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9" customHeight="1" x14ac:dyDescent="0.3">
      <c r="A89" s="5"/>
      <c r="B89" s="62"/>
      <c r="C89" s="1"/>
      <c r="D89" s="1">
        <f t="shared" si="2"/>
        <v>85</v>
      </c>
      <c r="E89" s="1" t="s">
        <v>225</v>
      </c>
      <c r="F89" s="1" t="s">
        <v>161</v>
      </c>
      <c r="G89" s="1"/>
      <c r="H89" s="1" t="s">
        <v>162</v>
      </c>
      <c r="I89" s="1"/>
      <c r="J89" s="1" t="s">
        <v>66</v>
      </c>
      <c r="K89" s="1"/>
      <c r="L89" s="1" t="s">
        <v>77</v>
      </c>
      <c r="M89" s="1"/>
      <c r="N89" s="1"/>
      <c r="O89" s="1"/>
      <c r="P89" s="1"/>
      <c r="Q89" s="1"/>
      <c r="R89" s="1"/>
      <c r="S89" s="1"/>
      <c r="T89" s="1"/>
      <c r="U89" s="4"/>
      <c r="V89" s="1" t="s">
        <v>163</v>
      </c>
      <c r="W89" s="1"/>
      <c r="X89" s="1"/>
      <c r="Y89" s="1"/>
      <c r="Z89" s="1"/>
      <c r="AA89" s="1"/>
      <c r="AB89" s="1"/>
      <c r="AC89" s="1"/>
      <c r="AD89" s="1"/>
      <c r="AE89" s="1"/>
      <c r="AF89" s="2"/>
      <c r="AG89" s="2"/>
      <c r="AH89" s="2"/>
      <c r="AI89" s="2"/>
      <c r="AJ89" s="2"/>
      <c r="AK89" s="2"/>
      <c r="AL89" s="2"/>
      <c r="AM89" s="2"/>
      <c r="AN89" s="1"/>
      <c r="AO89" s="1"/>
      <c r="AP89" s="2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9" customHeight="1" x14ac:dyDescent="0.3">
      <c r="A90" s="5"/>
      <c r="B90" s="62"/>
      <c r="C90" s="1" t="s">
        <v>182</v>
      </c>
      <c r="D90" s="1">
        <f t="shared" si="2"/>
        <v>86</v>
      </c>
      <c r="E90" s="1" t="s">
        <v>226</v>
      </c>
      <c r="F90" s="1" t="s">
        <v>161</v>
      </c>
      <c r="G90" s="1"/>
      <c r="H90" s="1" t="s">
        <v>162</v>
      </c>
      <c r="I90" s="1"/>
      <c r="J90" s="1" t="s">
        <v>66</v>
      </c>
      <c r="K90" s="1"/>
      <c r="L90" s="1" t="s">
        <v>77</v>
      </c>
      <c r="M90" s="1"/>
      <c r="N90" s="1"/>
      <c r="O90" s="1"/>
      <c r="P90" s="1"/>
      <c r="Q90" s="1"/>
      <c r="R90" s="1"/>
      <c r="S90" s="1"/>
      <c r="T90" s="1"/>
      <c r="U90" s="4"/>
      <c r="V90" s="1" t="s">
        <v>163</v>
      </c>
      <c r="W90" s="1"/>
      <c r="X90" s="1"/>
      <c r="Y90" s="1"/>
      <c r="Z90" s="1"/>
      <c r="AA90" s="1"/>
      <c r="AB90" s="1"/>
      <c r="AC90" s="1"/>
      <c r="AD90" s="1"/>
      <c r="AE90" s="1"/>
      <c r="AF90" s="2"/>
      <c r="AG90" s="2"/>
      <c r="AH90" s="2"/>
      <c r="AI90" s="2"/>
      <c r="AJ90" s="2"/>
      <c r="AK90" s="2"/>
      <c r="AL90" s="2"/>
      <c r="AM90" s="2"/>
      <c r="AN90" s="1"/>
      <c r="AO90" s="1"/>
      <c r="AP90" s="2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9" customHeight="1" x14ac:dyDescent="0.3">
      <c r="A91" s="5"/>
      <c r="B91" s="62"/>
      <c r="C91" s="1" t="s">
        <v>227</v>
      </c>
      <c r="D91" s="1">
        <f t="shared" si="2"/>
        <v>87</v>
      </c>
      <c r="E91" s="1" t="s">
        <v>228</v>
      </c>
      <c r="F91" s="1" t="s">
        <v>161</v>
      </c>
      <c r="G91" s="1"/>
      <c r="H91" s="1" t="s">
        <v>162</v>
      </c>
      <c r="I91" s="1"/>
      <c r="J91" s="1" t="s">
        <v>66</v>
      </c>
      <c r="K91" s="1"/>
      <c r="L91" s="1" t="s">
        <v>77</v>
      </c>
      <c r="M91" s="1"/>
      <c r="N91" s="1"/>
      <c r="O91" s="1"/>
      <c r="P91" s="1"/>
      <c r="Q91" s="1"/>
      <c r="R91" s="1"/>
      <c r="S91" s="1"/>
      <c r="T91" s="1"/>
      <c r="U91" s="4"/>
      <c r="V91" s="1" t="s">
        <v>163</v>
      </c>
      <c r="W91" s="1"/>
      <c r="X91" s="1"/>
      <c r="Y91" s="1"/>
      <c r="Z91" s="1"/>
      <c r="AA91" s="1"/>
      <c r="AB91" s="1"/>
      <c r="AC91" s="1"/>
      <c r="AD91" s="1"/>
      <c r="AE91" s="1"/>
      <c r="AF91" s="2"/>
      <c r="AG91" s="2"/>
      <c r="AH91" s="2"/>
      <c r="AI91" s="2"/>
      <c r="AJ91" s="2"/>
      <c r="AK91" s="2"/>
      <c r="AL91" s="2"/>
      <c r="AM91" s="2"/>
      <c r="AN91" s="1"/>
      <c r="AO91" s="1"/>
      <c r="AP91" s="2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9" customHeight="1" x14ac:dyDescent="0.3">
      <c r="A92" s="5"/>
      <c r="B92" s="62"/>
      <c r="C92" s="1" t="s">
        <v>227</v>
      </c>
      <c r="D92" s="1">
        <f t="shared" si="2"/>
        <v>88</v>
      </c>
      <c r="E92" s="1" t="s">
        <v>229</v>
      </c>
      <c r="F92" s="1" t="s">
        <v>161</v>
      </c>
      <c r="G92" s="1"/>
      <c r="H92" s="1" t="s">
        <v>162</v>
      </c>
      <c r="I92" s="1"/>
      <c r="J92" s="1" t="s">
        <v>66</v>
      </c>
      <c r="K92" s="1"/>
      <c r="L92" s="1" t="s">
        <v>77</v>
      </c>
      <c r="M92" s="1"/>
      <c r="N92" s="1"/>
      <c r="O92" s="1"/>
      <c r="P92" s="1"/>
      <c r="Q92" s="1"/>
      <c r="R92" s="1"/>
      <c r="S92" s="1"/>
      <c r="T92" s="1"/>
      <c r="U92" s="4"/>
      <c r="V92" s="1" t="s">
        <v>163</v>
      </c>
      <c r="W92" s="1"/>
      <c r="X92" s="1"/>
      <c r="Y92" s="1"/>
      <c r="Z92" s="1"/>
      <c r="AA92" s="1"/>
      <c r="AB92" s="1"/>
      <c r="AC92" s="1"/>
      <c r="AD92" s="1"/>
      <c r="AE92" s="1"/>
      <c r="AF92" s="2"/>
      <c r="AG92" s="2"/>
      <c r="AH92" s="2"/>
      <c r="AI92" s="2"/>
      <c r="AJ92" s="2"/>
      <c r="AK92" s="2"/>
      <c r="AL92" s="2"/>
      <c r="AM92" s="2"/>
      <c r="AN92" s="1"/>
      <c r="AO92" s="1"/>
      <c r="AP92" s="2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9" customHeight="1" x14ac:dyDescent="0.3">
      <c r="A93" s="5"/>
      <c r="B93" s="62"/>
      <c r="C93" s="1" t="s">
        <v>230</v>
      </c>
      <c r="D93" s="1">
        <f t="shared" si="2"/>
        <v>89</v>
      </c>
      <c r="E93" s="1" t="s">
        <v>231</v>
      </c>
      <c r="F93" s="1" t="s">
        <v>161</v>
      </c>
      <c r="G93" s="1"/>
      <c r="H93" s="1" t="s">
        <v>64</v>
      </c>
      <c r="I93" s="1" t="s">
        <v>65</v>
      </c>
      <c r="J93" s="1" t="s">
        <v>66</v>
      </c>
      <c r="K93" s="1"/>
      <c r="L93" s="1" t="s">
        <v>77</v>
      </c>
      <c r="M93" s="1"/>
      <c r="N93" s="1"/>
      <c r="O93" s="1"/>
      <c r="P93" s="1"/>
      <c r="Q93" s="1"/>
      <c r="R93" s="1"/>
      <c r="S93" s="1"/>
      <c r="T93" s="1"/>
      <c r="U93" s="4" t="s">
        <v>232</v>
      </c>
      <c r="V93" s="1" t="s">
        <v>70</v>
      </c>
      <c r="W93" s="1" t="s">
        <v>233</v>
      </c>
      <c r="X93" s="1" t="s">
        <v>72</v>
      </c>
      <c r="Y93" s="1" t="s">
        <v>47</v>
      </c>
      <c r="Z93" s="1"/>
      <c r="AA93" s="1"/>
      <c r="AB93" s="1"/>
      <c r="AC93" s="1"/>
      <c r="AD93" s="1"/>
      <c r="AE93" s="1"/>
      <c r="AF93" s="2"/>
      <c r="AG93" s="2"/>
      <c r="AH93" s="2"/>
      <c r="AI93" s="2"/>
      <c r="AJ93" s="2"/>
      <c r="AK93" s="2"/>
      <c r="AL93" s="2"/>
      <c r="AM93" s="2"/>
      <c r="AN93" s="1"/>
      <c r="AO93" s="1"/>
      <c r="AP93" s="2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9" customHeight="1" x14ac:dyDescent="0.3">
      <c r="A94" s="5"/>
      <c r="B94" s="62"/>
      <c r="C94" s="1" t="s">
        <v>230</v>
      </c>
      <c r="D94" s="1">
        <f t="shared" si="2"/>
        <v>90</v>
      </c>
      <c r="E94" s="1" t="s">
        <v>234</v>
      </c>
      <c r="F94" s="1" t="s">
        <v>161</v>
      </c>
      <c r="G94" s="1"/>
      <c r="H94" s="1" t="s">
        <v>64</v>
      </c>
      <c r="I94" s="1" t="s">
        <v>65</v>
      </c>
      <c r="J94" s="1" t="s">
        <v>66</v>
      </c>
      <c r="K94" s="1"/>
      <c r="L94" s="1" t="s">
        <v>77</v>
      </c>
      <c r="M94" s="1"/>
      <c r="N94" s="1"/>
      <c r="O94" s="1"/>
      <c r="P94" s="1"/>
      <c r="Q94" s="1"/>
      <c r="R94" s="1"/>
      <c r="S94" s="1"/>
      <c r="T94" s="1"/>
      <c r="U94" s="4" t="s">
        <v>235</v>
      </c>
      <c r="V94" s="1" t="s">
        <v>70</v>
      </c>
      <c r="W94" s="1" t="s">
        <v>233</v>
      </c>
      <c r="X94" s="1" t="s">
        <v>72</v>
      </c>
      <c r="Y94" s="1" t="s">
        <v>47</v>
      </c>
      <c r="Z94" s="1"/>
      <c r="AA94" s="1"/>
      <c r="AB94" s="1"/>
      <c r="AC94" s="1"/>
      <c r="AD94" s="1"/>
      <c r="AE94" s="1"/>
      <c r="AF94" s="2"/>
      <c r="AG94" s="2"/>
      <c r="AH94" s="2"/>
      <c r="AI94" s="2"/>
      <c r="AJ94" s="2"/>
      <c r="AK94" s="2"/>
      <c r="AL94" s="2"/>
      <c r="AM94" s="2"/>
      <c r="AN94" s="1"/>
      <c r="AO94" s="1"/>
      <c r="AP94" s="2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9" customHeight="1" x14ac:dyDescent="0.3">
      <c r="A95" s="5"/>
      <c r="B95" s="62"/>
      <c r="C95" s="1"/>
      <c r="D95" s="1">
        <f t="shared" si="2"/>
        <v>91</v>
      </c>
      <c r="E95" s="1" t="s">
        <v>236</v>
      </c>
      <c r="F95" s="1" t="s">
        <v>161</v>
      </c>
      <c r="G95" s="1"/>
      <c r="H95" s="1"/>
      <c r="I95" s="1"/>
      <c r="J95" s="1" t="s">
        <v>66</v>
      </c>
      <c r="K95" s="1"/>
      <c r="L95" s="1" t="s">
        <v>77</v>
      </c>
      <c r="M95" s="1"/>
      <c r="N95" s="1"/>
      <c r="O95" s="1"/>
      <c r="P95" s="1"/>
      <c r="Q95" s="1"/>
      <c r="R95" s="1"/>
      <c r="S95" s="1"/>
      <c r="T95" s="1"/>
      <c r="U95" s="4"/>
      <c r="V95" s="1" t="s">
        <v>237</v>
      </c>
      <c r="W95" s="1"/>
      <c r="X95" s="1"/>
      <c r="Y95" s="1"/>
      <c r="Z95" s="1"/>
      <c r="AA95" s="1"/>
      <c r="AB95" s="1"/>
      <c r="AC95" s="1"/>
      <c r="AD95" s="1"/>
      <c r="AE95" s="1"/>
      <c r="AF95" s="2"/>
      <c r="AG95" s="2"/>
      <c r="AH95" s="2"/>
      <c r="AI95" s="2"/>
      <c r="AJ95" s="2"/>
      <c r="AK95" s="2"/>
      <c r="AL95" s="2"/>
      <c r="AM95" s="2"/>
      <c r="AN95" s="1"/>
      <c r="AO95" s="1"/>
      <c r="AP95" s="2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9" customHeight="1" x14ac:dyDescent="0.3">
      <c r="A96" s="5"/>
      <c r="B96" s="62" t="s">
        <v>238</v>
      </c>
      <c r="C96" s="1" t="s">
        <v>239</v>
      </c>
      <c r="D96" s="1">
        <f t="shared" si="2"/>
        <v>92</v>
      </c>
      <c r="E96" s="1" t="s">
        <v>240</v>
      </c>
      <c r="F96" s="1" t="s">
        <v>239</v>
      </c>
      <c r="G96" s="1" t="s">
        <v>90</v>
      </c>
      <c r="H96" s="1" t="s">
        <v>64</v>
      </c>
      <c r="I96" s="1" t="s">
        <v>65</v>
      </c>
      <c r="J96" s="1" t="s">
        <v>66</v>
      </c>
      <c r="K96" s="1" t="s">
        <v>240</v>
      </c>
      <c r="L96" s="1" t="s">
        <v>77</v>
      </c>
      <c r="M96" s="1"/>
      <c r="N96" s="1"/>
      <c r="O96" s="1"/>
      <c r="P96" s="1"/>
      <c r="Q96" s="1"/>
      <c r="R96" s="1"/>
      <c r="S96" s="1"/>
      <c r="T96" s="1"/>
      <c r="U96" s="4" t="s">
        <v>241</v>
      </c>
      <c r="V96" s="1" t="s">
        <v>163</v>
      </c>
      <c r="W96" s="1" t="s">
        <v>215</v>
      </c>
      <c r="X96" s="1" t="s">
        <v>81</v>
      </c>
      <c r="Y96" s="1"/>
      <c r="Z96" s="1"/>
      <c r="AA96" s="6">
        <v>44890</v>
      </c>
      <c r="AB96" s="1"/>
      <c r="AC96" s="1"/>
      <c r="AD96" s="1"/>
      <c r="AE96" s="1"/>
      <c r="AF96" s="2"/>
      <c r="AG96" s="2">
        <v>5</v>
      </c>
      <c r="AH96" s="7">
        <v>44896</v>
      </c>
      <c r="AI96" s="7">
        <v>44903</v>
      </c>
      <c r="AJ96" s="2"/>
      <c r="AK96" s="2"/>
      <c r="AL96" s="2"/>
      <c r="AM96" s="2"/>
      <c r="AN96" s="1"/>
      <c r="AO96" s="1"/>
      <c r="AP96" s="2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9" customHeight="1" x14ac:dyDescent="0.3">
      <c r="A97" s="5"/>
      <c r="B97" s="62"/>
      <c r="C97" s="1" t="s">
        <v>239</v>
      </c>
      <c r="D97" s="1">
        <f t="shared" si="2"/>
        <v>93</v>
      </c>
      <c r="E97" s="1" t="s">
        <v>242</v>
      </c>
      <c r="F97" s="1" t="s">
        <v>239</v>
      </c>
      <c r="G97" s="1" t="s">
        <v>90</v>
      </c>
      <c r="H97" s="1" t="s">
        <v>64</v>
      </c>
      <c r="I97" s="1" t="s">
        <v>65</v>
      </c>
      <c r="J97" s="1" t="s">
        <v>66</v>
      </c>
      <c r="K97" s="1" t="s">
        <v>242</v>
      </c>
      <c r="L97" s="1" t="s">
        <v>77</v>
      </c>
      <c r="M97" s="1"/>
      <c r="N97" s="1"/>
      <c r="O97" s="1"/>
      <c r="P97" s="1"/>
      <c r="Q97" s="1"/>
      <c r="R97" s="1"/>
      <c r="S97" s="1"/>
      <c r="T97" s="1"/>
      <c r="U97" s="4" t="s">
        <v>243</v>
      </c>
      <c r="V97" s="1" t="s">
        <v>163</v>
      </c>
      <c r="W97" s="1" t="s">
        <v>215</v>
      </c>
      <c r="X97" s="1" t="s">
        <v>81</v>
      </c>
      <c r="Y97" s="1"/>
      <c r="Z97" s="1"/>
      <c r="AA97" s="6">
        <v>44890</v>
      </c>
      <c r="AB97" s="1"/>
      <c r="AC97" s="1"/>
      <c r="AD97" s="1"/>
      <c r="AE97" s="1"/>
      <c r="AF97" s="2"/>
      <c r="AG97" s="2">
        <v>3</v>
      </c>
      <c r="AH97" s="7">
        <v>44904</v>
      </c>
      <c r="AI97" s="7">
        <v>44908</v>
      </c>
      <c r="AJ97" s="2"/>
      <c r="AK97" s="2"/>
      <c r="AL97" s="2"/>
      <c r="AM97" s="2"/>
      <c r="AN97" s="1"/>
      <c r="AO97" s="1"/>
      <c r="AP97" s="2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9" customHeight="1" x14ac:dyDescent="0.3">
      <c r="A98" s="5"/>
      <c r="B98" s="62"/>
      <c r="C98" s="1" t="s">
        <v>239</v>
      </c>
      <c r="D98" s="1">
        <f t="shared" si="2"/>
        <v>94</v>
      </c>
      <c r="E98" s="1" t="s">
        <v>244</v>
      </c>
      <c r="F98" s="1" t="s">
        <v>239</v>
      </c>
      <c r="G98" s="1" t="s">
        <v>90</v>
      </c>
      <c r="H98" s="1" t="s">
        <v>64</v>
      </c>
      <c r="I98" s="1" t="s">
        <v>65</v>
      </c>
      <c r="J98" s="1" t="s">
        <v>66</v>
      </c>
      <c r="K98" s="1" t="s">
        <v>244</v>
      </c>
      <c r="L98" s="1" t="s">
        <v>77</v>
      </c>
      <c r="M98" s="1"/>
      <c r="N98" s="1"/>
      <c r="O98" s="1"/>
      <c r="P98" s="1"/>
      <c r="Q98" s="1"/>
      <c r="R98" s="1"/>
      <c r="S98" s="1"/>
      <c r="T98" s="1"/>
      <c r="U98" s="4" t="s">
        <v>245</v>
      </c>
      <c r="V98" s="1" t="s">
        <v>163</v>
      </c>
      <c r="W98" s="1" t="s">
        <v>215</v>
      </c>
      <c r="X98" s="1" t="s">
        <v>81</v>
      </c>
      <c r="Y98" s="1"/>
      <c r="Z98" s="1"/>
      <c r="AA98" s="6">
        <v>44890</v>
      </c>
      <c r="AB98" s="1"/>
      <c r="AC98" s="1"/>
      <c r="AD98" s="1"/>
      <c r="AE98" s="1"/>
      <c r="AF98" s="2"/>
      <c r="AG98" s="2">
        <v>3</v>
      </c>
      <c r="AH98" s="7">
        <v>44909</v>
      </c>
      <c r="AI98" s="7">
        <v>44911</v>
      </c>
      <c r="AJ98" s="2"/>
      <c r="AK98" s="2"/>
      <c r="AL98" s="2"/>
      <c r="AM98" s="2"/>
      <c r="AN98" s="1"/>
      <c r="AO98" s="1"/>
      <c r="AP98" s="2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9" customHeight="1" x14ac:dyDescent="0.3">
      <c r="A99" s="5"/>
      <c r="B99" s="62" t="s">
        <v>246</v>
      </c>
      <c r="C99" s="1"/>
      <c r="D99" s="1">
        <f t="shared" si="2"/>
        <v>95</v>
      </c>
      <c r="E99" s="1" t="s">
        <v>247</v>
      </c>
      <c r="F99" s="1" t="s">
        <v>248</v>
      </c>
      <c r="G99" s="1"/>
      <c r="H99" s="1" t="s">
        <v>162</v>
      </c>
      <c r="I99" s="1"/>
      <c r="J99" s="1" t="s">
        <v>66</v>
      </c>
      <c r="K99" s="1"/>
      <c r="L99" s="1" t="s">
        <v>77</v>
      </c>
      <c r="M99" s="1"/>
      <c r="N99" s="1"/>
      <c r="O99" s="1"/>
      <c r="P99" s="1"/>
      <c r="Q99" s="1"/>
      <c r="R99" s="1"/>
      <c r="S99" s="1"/>
      <c r="T99" s="1"/>
      <c r="U99" s="4"/>
      <c r="V99" s="1" t="s">
        <v>163</v>
      </c>
      <c r="W99" s="1"/>
      <c r="X99" s="1"/>
      <c r="Y99" s="1"/>
      <c r="Z99" s="1"/>
      <c r="AA99" s="1"/>
      <c r="AB99" s="1"/>
      <c r="AC99" s="1"/>
      <c r="AD99" s="1"/>
      <c r="AE99" s="1"/>
      <c r="AF99" s="2"/>
      <c r="AG99" s="2"/>
      <c r="AH99" s="2"/>
      <c r="AI99" s="2"/>
      <c r="AJ99" s="2"/>
      <c r="AK99" s="2"/>
      <c r="AL99" s="2"/>
      <c r="AM99" s="2"/>
      <c r="AN99" s="1"/>
      <c r="AO99" s="1"/>
      <c r="AP99" s="2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9" customHeight="1" x14ac:dyDescent="0.3">
      <c r="A100" s="5"/>
      <c r="B100" s="62"/>
      <c r="C100" s="1" t="s">
        <v>249</v>
      </c>
      <c r="D100" s="1">
        <f t="shared" si="2"/>
        <v>96</v>
      </c>
      <c r="E100" s="1" t="s">
        <v>250</v>
      </c>
      <c r="F100" s="1" t="s">
        <v>248</v>
      </c>
      <c r="G100" s="1"/>
      <c r="H100" s="1" t="s">
        <v>162</v>
      </c>
      <c r="I100" s="1"/>
      <c r="J100" s="1" t="s">
        <v>66</v>
      </c>
      <c r="K100" s="1"/>
      <c r="L100" s="1" t="s">
        <v>77</v>
      </c>
      <c r="M100" s="1"/>
      <c r="N100" s="1"/>
      <c r="O100" s="1"/>
      <c r="P100" s="1"/>
      <c r="Q100" s="1"/>
      <c r="R100" s="1"/>
      <c r="S100" s="1"/>
      <c r="T100" s="1"/>
      <c r="U100" s="4"/>
      <c r="V100" s="1" t="s">
        <v>70</v>
      </c>
      <c r="W100" s="1"/>
      <c r="X100" s="1"/>
      <c r="Y100" s="1"/>
      <c r="Z100" s="1"/>
      <c r="AA100" s="1"/>
      <c r="AB100" s="1"/>
      <c r="AC100" s="1"/>
      <c r="AD100" s="1"/>
      <c r="AE100" s="1"/>
      <c r="AF100" s="2"/>
      <c r="AG100" s="2"/>
      <c r="AH100" s="2"/>
      <c r="AI100" s="2"/>
      <c r="AJ100" s="2"/>
      <c r="AK100" s="2"/>
      <c r="AL100" s="2"/>
      <c r="AM100" s="2"/>
      <c r="AN100" s="1"/>
      <c r="AO100" s="1"/>
      <c r="AP100" s="2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9" customHeight="1" x14ac:dyDescent="0.3">
      <c r="A101" s="5"/>
      <c r="B101" s="62"/>
      <c r="C101" s="1" t="s">
        <v>249</v>
      </c>
      <c r="D101" s="1">
        <f t="shared" si="2"/>
        <v>97</v>
      </c>
      <c r="E101" s="1" t="s">
        <v>251</v>
      </c>
      <c r="F101" s="1" t="s">
        <v>248</v>
      </c>
      <c r="G101" s="1"/>
      <c r="H101" s="1" t="s">
        <v>162</v>
      </c>
      <c r="I101" s="1"/>
      <c r="J101" s="1" t="s">
        <v>66</v>
      </c>
      <c r="K101" s="1"/>
      <c r="L101" s="1" t="s">
        <v>77</v>
      </c>
      <c r="M101" s="1"/>
      <c r="N101" s="1"/>
      <c r="O101" s="1"/>
      <c r="P101" s="1"/>
      <c r="Q101" s="1"/>
      <c r="R101" s="1"/>
      <c r="S101" s="1"/>
      <c r="T101" s="1"/>
      <c r="U101" s="4"/>
      <c r="V101" s="1" t="s">
        <v>70</v>
      </c>
      <c r="W101" s="1"/>
      <c r="X101" s="1"/>
      <c r="Y101" s="1"/>
      <c r="Z101" s="1"/>
      <c r="AA101" s="1"/>
      <c r="AB101" s="1"/>
      <c r="AC101" s="1"/>
      <c r="AD101" s="1"/>
      <c r="AE101" s="1"/>
      <c r="AF101" s="2"/>
      <c r="AG101" s="2"/>
      <c r="AH101" s="2"/>
      <c r="AI101" s="2"/>
      <c r="AJ101" s="2"/>
      <c r="AK101" s="2"/>
      <c r="AL101" s="2"/>
      <c r="AM101" s="2"/>
      <c r="AN101" s="1"/>
      <c r="AO101" s="1"/>
      <c r="AP101" s="2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9" customHeight="1" x14ac:dyDescent="0.3">
      <c r="A102" s="5"/>
      <c r="B102" s="62"/>
      <c r="C102" s="1" t="s">
        <v>249</v>
      </c>
      <c r="D102" s="1">
        <f t="shared" si="2"/>
        <v>98</v>
      </c>
      <c r="E102" s="1" t="s">
        <v>252</v>
      </c>
      <c r="F102" s="1" t="s">
        <v>248</v>
      </c>
      <c r="G102" s="1"/>
      <c r="H102" s="1" t="s">
        <v>162</v>
      </c>
      <c r="I102" s="1"/>
      <c r="J102" s="1" t="s">
        <v>66</v>
      </c>
      <c r="K102" s="1"/>
      <c r="L102" s="1" t="s">
        <v>77</v>
      </c>
      <c r="M102" s="1"/>
      <c r="N102" s="1"/>
      <c r="O102" s="1"/>
      <c r="P102" s="1"/>
      <c r="Q102" s="1"/>
      <c r="R102" s="1"/>
      <c r="S102" s="1"/>
      <c r="T102" s="1"/>
      <c r="U102" s="4"/>
      <c r="V102" s="1" t="s">
        <v>70</v>
      </c>
      <c r="W102" s="1"/>
      <c r="X102" s="1"/>
      <c r="Y102" s="1"/>
      <c r="Z102" s="1"/>
      <c r="AA102" s="1"/>
      <c r="AB102" s="1"/>
      <c r="AC102" s="1"/>
      <c r="AD102" s="1"/>
      <c r="AE102" s="1"/>
      <c r="AF102" s="2"/>
      <c r="AG102" s="2"/>
      <c r="AH102" s="2"/>
      <c r="AI102" s="2"/>
      <c r="AJ102" s="2"/>
      <c r="AK102" s="2"/>
      <c r="AL102" s="2"/>
      <c r="AM102" s="2"/>
      <c r="AN102" s="1"/>
      <c r="AO102" s="1"/>
      <c r="AP102" s="2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9" customHeight="1" x14ac:dyDescent="0.3">
      <c r="A103" s="5"/>
      <c r="B103" s="62"/>
      <c r="C103" s="1" t="s">
        <v>249</v>
      </c>
      <c r="D103" s="1">
        <f t="shared" si="2"/>
        <v>99</v>
      </c>
      <c r="E103" s="1" t="s">
        <v>253</v>
      </c>
      <c r="F103" s="1" t="s">
        <v>248</v>
      </c>
      <c r="G103" s="1"/>
      <c r="H103" s="1" t="s">
        <v>162</v>
      </c>
      <c r="I103" s="1"/>
      <c r="J103" s="1" t="s">
        <v>66</v>
      </c>
      <c r="K103" s="1"/>
      <c r="L103" s="1" t="s">
        <v>77</v>
      </c>
      <c r="M103" s="1"/>
      <c r="N103" s="1"/>
      <c r="O103" s="1"/>
      <c r="P103" s="1"/>
      <c r="Q103" s="1"/>
      <c r="R103" s="1"/>
      <c r="S103" s="1"/>
      <c r="T103" s="1"/>
      <c r="U103" s="4"/>
      <c r="V103" s="1" t="s">
        <v>70</v>
      </c>
      <c r="W103" s="1"/>
      <c r="X103" s="1"/>
      <c r="Y103" s="1"/>
      <c r="Z103" s="1"/>
      <c r="AA103" s="1"/>
      <c r="AB103" s="1"/>
      <c r="AC103" s="1"/>
      <c r="AD103" s="1"/>
      <c r="AE103" s="1"/>
      <c r="AF103" s="2"/>
      <c r="AG103" s="2"/>
      <c r="AH103" s="2"/>
      <c r="AI103" s="2"/>
      <c r="AJ103" s="2"/>
      <c r="AK103" s="2"/>
      <c r="AL103" s="2"/>
      <c r="AM103" s="2"/>
      <c r="AN103" s="1"/>
      <c r="AO103" s="1"/>
      <c r="AP103" s="2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9" customHeight="1" x14ac:dyDescent="0.3">
      <c r="A104" s="5"/>
      <c r="B104" s="62"/>
      <c r="C104" s="1" t="s">
        <v>254</v>
      </c>
      <c r="D104" s="1">
        <f t="shared" si="2"/>
        <v>100</v>
      </c>
      <c r="E104" s="1" t="s">
        <v>255</v>
      </c>
      <c r="F104" s="1" t="s">
        <v>248</v>
      </c>
      <c r="G104" s="1" t="s">
        <v>83</v>
      </c>
      <c r="H104" s="1" t="s">
        <v>64</v>
      </c>
      <c r="I104" s="1" t="s">
        <v>65</v>
      </c>
      <c r="J104" s="1" t="s">
        <v>66</v>
      </c>
      <c r="K104" s="1" t="s">
        <v>255</v>
      </c>
      <c r="L104" s="1" t="s">
        <v>77</v>
      </c>
      <c r="M104" s="1"/>
      <c r="N104" s="1"/>
      <c r="O104" s="1"/>
      <c r="P104" s="1"/>
      <c r="Q104" s="1"/>
      <c r="R104" s="1"/>
      <c r="S104" s="1"/>
      <c r="T104" s="1"/>
      <c r="U104" s="4" t="s">
        <v>256</v>
      </c>
      <c r="V104" s="1" t="s">
        <v>257</v>
      </c>
      <c r="W104" s="1" t="s">
        <v>258</v>
      </c>
      <c r="X104" s="1" t="s">
        <v>81</v>
      </c>
      <c r="Y104" s="1" t="s">
        <v>259</v>
      </c>
      <c r="Z104" s="1" t="s">
        <v>260</v>
      </c>
      <c r="AA104" s="1"/>
      <c r="AB104" s="1"/>
      <c r="AC104" s="1"/>
      <c r="AD104" s="1"/>
      <c r="AE104" s="1"/>
      <c r="AF104" s="2"/>
      <c r="AG104" s="2"/>
      <c r="AH104" s="2"/>
      <c r="AI104" s="2"/>
      <c r="AJ104" s="2"/>
      <c r="AK104" s="2"/>
      <c r="AL104" s="2"/>
      <c r="AM104" s="2"/>
      <c r="AN104" s="1"/>
      <c r="AO104" s="1"/>
      <c r="AP104" s="2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9" customHeight="1" x14ac:dyDescent="0.3">
      <c r="A105" s="5"/>
      <c r="B105" s="62"/>
      <c r="C105" s="1" t="s">
        <v>254</v>
      </c>
      <c r="D105" s="1">
        <f t="shared" si="2"/>
        <v>101</v>
      </c>
      <c r="E105" s="1" t="s">
        <v>261</v>
      </c>
      <c r="F105" s="1" t="s">
        <v>248</v>
      </c>
      <c r="G105" s="1" t="s">
        <v>83</v>
      </c>
      <c r="H105" s="1" t="s">
        <v>64</v>
      </c>
      <c r="I105" s="1" t="s">
        <v>65</v>
      </c>
      <c r="J105" s="1" t="s">
        <v>66</v>
      </c>
      <c r="K105" s="1" t="s">
        <v>261</v>
      </c>
      <c r="L105" s="1" t="s">
        <v>77</v>
      </c>
      <c r="M105" s="1"/>
      <c r="N105" s="1"/>
      <c r="O105" s="1"/>
      <c r="P105" s="1"/>
      <c r="Q105" s="1"/>
      <c r="R105" s="1"/>
      <c r="S105" s="1"/>
      <c r="T105" s="1"/>
      <c r="U105" s="4" t="s">
        <v>262</v>
      </c>
      <c r="V105" s="1" t="s">
        <v>257</v>
      </c>
      <c r="W105" s="1" t="s">
        <v>258</v>
      </c>
      <c r="X105" s="1" t="s">
        <v>81</v>
      </c>
      <c r="Y105" s="1" t="s">
        <v>259</v>
      </c>
      <c r="Z105" s="1" t="s">
        <v>263</v>
      </c>
      <c r="AA105" s="1"/>
      <c r="AB105" s="1"/>
      <c r="AC105" s="1"/>
      <c r="AD105" s="1"/>
      <c r="AE105" s="1"/>
      <c r="AF105" s="2"/>
      <c r="AG105" s="2"/>
      <c r="AH105" s="2"/>
      <c r="AI105" s="2"/>
      <c r="AJ105" s="2"/>
      <c r="AK105" s="2"/>
      <c r="AL105" s="2"/>
      <c r="AM105" s="2"/>
      <c r="AN105" s="1"/>
      <c r="AO105" s="1"/>
      <c r="AP105" s="2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9" customHeight="1" x14ac:dyDescent="0.3">
      <c r="A106" s="5"/>
      <c r="B106" s="62"/>
      <c r="C106" s="1" t="s">
        <v>264</v>
      </c>
      <c r="D106" s="1">
        <f t="shared" si="2"/>
        <v>102</v>
      </c>
      <c r="E106" s="1" t="s">
        <v>265</v>
      </c>
      <c r="F106" s="1" t="s">
        <v>248</v>
      </c>
      <c r="G106" s="1"/>
      <c r="H106" s="1"/>
      <c r="I106" s="1"/>
      <c r="J106" s="1" t="s">
        <v>66</v>
      </c>
      <c r="K106" s="1"/>
      <c r="L106" s="1" t="s">
        <v>77</v>
      </c>
      <c r="M106" s="1"/>
      <c r="N106" s="1"/>
      <c r="O106" s="1"/>
      <c r="P106" s="1"/>
      <c r="Q106" s="1"/>
      <c r="R106" s="1"/>
      <c r="S106" s="1"/>
      <c r="T106" s="1"/>
      <c r="U106" s="4"/>
      <c r="V106" s="1" t="s">
        <v>88</v>
      </c>
      <c r="W106" s="1"/>
      <c r="X106" s="1"/>
      <c r="Y106" s="1"/>
      <c r="Z106" s="1"/>
      <c r="AA106" s="1"/>
      <c r="AB106" s="1"/>
      <c r="AC106" s="1"/>
      <c r="AD106" s="1"/>
      <c r="AE106" s="1"/>
      <c r="AF106" s="2"/>
      <c r="AG106" s="2"/>
      <c r="AH106" s="2"/>
      <c r="AI106" s="2"/>
      <c r="AJ106" s="2"/>
      <c r="AK106" s="2"/>
      <c r="AL106" s="2"/>
      <c r="AM106" s="2"/>
      <c r="AN106" s="1"/>
      <c r="AO106" s="1"/>
      <c r="AP106" s="2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9" customHeight="1" x14ac:dyDescent="0.3">
      <c r="A107" s="5"/>
      <c r="B107" s="62"/>
      <c r="C107" s="1" t="s">
        <v>266</v>
      </c>
      <c r="D107" s="1">
        <f t="shared" si="2"/>
        <v>103</v>
      </c>
      <c r="E107" s="1" t="s">
        <v>267</v>
      </c>
      <c r="F107" s="1" t="s">
        <v>248</v>
      </c>
      <c r="G107" s="1"/>
      <c r="H107" s="1" t="s">
        <v>162</v>
      </c>
      <c r="I107" s="1"/>
      <c r="J107" s="1" t="s">
        <v>66</v>
      </c>
      <c r="K107" s="1" t="s">
        <v>267</v>
      </c>
      <c r="L107" s="1" t="s">
        <v>77</v>
      </c>
      <c r="M107" s="1"/>
      <c r="N107" s="1"/>
      <c r="O107" s="1"/>
      <c r="P107" s="1"/>
      <c r="Q107" s="1"/>
      <c r="R107" s="1"/>
      <c r="S107" s="1"/>
      <c r="T107" s="1"/>
      <c r="U107" s="4"/>
      <c r="V107" s="1" t="s">
        <v>70</v>
      </c>
      <c r="W107" s="1"/>
      <c r="X107" s="1"/>
      <c r="Y107" s="1"/>
      <c r="Z107" s="1"/>
      <c r="AA107" s="1"/>
      <c r="AB107" s="1"/>
      <c r="AC107" s="1"/>
      <c r="AD107" s="1"/>
      <c r="AE107" s="1"/>
      <c r="AF107" s="2"/>
      <c r="AG107" s="2"/>
      <c r="AH107" s="2"/>
      <c r="AI107" s="2"/>
      <c r="AJ107" s="2"/>
      <c r="AK107" s="2"/>
      <c r="AL107" s="2"/>
      <c r="AM107" s="2"/>
      <c r="AN107" s="1"/>
      <c r="AO107" s="1"/>
      <c r="AP107" s="2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9" customHeight="1" x14ac:dyDescent="0.3">
      <c r="A108" s="5"/>
      <c r="B108" s="62"/>
      <c r="C108" s="1" t="s">
        <v>266</v>
      </c>
      <c r="D108" s="1">
        <f t="shared" si="2"/>
        <v>104</v>
      </c>
      <c r="E108" s="1" t="s">
        <v>268</v>
      </c>
      <c r="F108" s="1" t="s">
        <v>248</v>
      </c>
      <c r="G108" s="1"/>
      <c r="H108" s="1" t="s">
        <v>162</v>
      </c>
      <c r="I108" s="1"/>
      <c r="J108" s="1" t="s">
        <v>66</v>
      </c>
      <c r="K108" s="1" t="s">
        <v>268</v>
      </c>
      <c r="L108" s="1" t="s">
        <v>77</v>
      </c>
      <c r="M108" s="1"/>
      <c r="N108" s="1"/>
      <c r="O108" s="1"/>
      <c r="P108" s="1"/>
      <c r="Q108" s="1"/>
      <c r="R108" s="1"/>
      <c r="S108" s="1"/>
      <c r="T108" s="1"/>
      <c r="U108" s="4"/>
      <c r="V108" s="1" t="s">
        <v>70</v>
      </c>
      <c r="W108" s="1"/>
      <c r="X108" s="1"/>
      <c r="Y108" s="1"/>
      <c r="Z108" s="1"/>
      <c r="AA108" s="1"/>
      <c r="AB108" s="1"/>
      <c r="AC108" s="1"/>
      <c r="AD108" s="1"/>
      <c r="AE108" s="1"/>
      <c r="AF108" s="2"/>
      <c r="AG108" s="2"/>
      <c r="AH108" s="2"/>
      <c r="AI108" s="2"/>
      <c r="AJ108" s="2"/>
      <c r="AK108" s="2"/>
      <c r="AL108" s="2"/>
      <c r="AM108" s="2"/>
      <c r="AN108" s="1"/>
      <c r="AO108" s="1"/>
      <c r="AP108" s="2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9" customHeight="1" x14ac:dyDescent="0.3">
      <c r="A109" s="5"/>
      <c r="B109" s="62"/>
      <c r="C109" s="1" t="s">
        <v>266</v>
      </c>
      <c r="D109" s="1">
        <f t="shared" si="2"/>
        <v>105</v>
      </c>
      <c r="E109" s="1" t="s">
        <v>269</v>
      </c>
      <c r="F109" s="1" t="s">
        <v>248</v>
      </c>
      <c r="G109" s="1"/>
      <c r="H109" s="1" t="s">
        <v>162</v>
      </c>
      <c r="I109" s="1"/>
      <c r="J109" s="1" t="s">
        <v>66</v>
      </c>
      <c r="K109" s="1" t="s">
        <v>269</v>
      </c>
      <c r="L109" s="1" t="s">
        <v>77</v>
      </c>
      <c r="M109" s="1"/>
      <c r="N109" s="1"/>
      <c r="O109" s="1"/>
      <c r="P109" s="1"/>
      <c r="Q109" s="1"/>
      <c r="R109" s="1"/>
      <c r="S109" s="1"/>
      <c r="T109" s="1"/>
      <c r="U109" s="4"/>
      <c r="V109" s="1" t="s">
        <v>70</v>
      </c>
      <c r="W109" s="1"/>
      <c r="X109" s="1"/>
      <c r="Y109" s="1"/>
      <c r="Z109" s="1"/>
      <c r="AA109" s="1"/>
      <c r="AB109" s="1"/>
      <c r="AC109" s="1"/>
      <c r="AD109" s="1"/>
      <c r="AE109" s="1"/>
      <c r="AF109" s="2"/>
      <c r="AG109" s="2"/>
      <c r="AH109" s="2"/>
      <c r="AI109" s="2"/>
      <c r="AJ109" s="2"/>
      <c r="AK109" s="2"/>
      <c r="AL109" s="2"/>
      <c r="AM109" s="2"/>
      <c r="AN109" s="1"/>
      <c r="AO109" s="1"/>
      <c r="AP109" s="2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9" customHeight="1" x14ac:dyDescent="0.3">
      <c r="A110" s="5"/>
      <c r="B110" s="62"/>
      <c r="C110" s="1" t="s">
        <v>266</v>
      </c>
      <c r="D110" s="1">
        <f t="shared" si="2"/>
        <v>106</v>
      </c>
      <c r="E110" s="1" t="s">
        <v>270</v>
      </c>
      <c r="F110" s="1" t="s">
        <v>248</v>
      </c>
      <c r="G110" s="1"/>
      <c r="H110" s="1" t="s">
        <v>162</v>
      </c>
      <c r="I110" s="1"/>
      <c r="J110" s="1" t="s">
        <v>66</v>
      </c>
      <c r="K110" s="1" t="s">
        <v>270</v>
      </c>
      <c r="L110" s="1" t="s">
        <v>77</v>
      </c>
      <c r="M110" s="1"/>
      <c r="N110" s="1"/>
      <c r="O110" s="1"/>
      <c r="P110" s="1"/>
      <c r="Q110" s="1"/>
      <c r="R110" s="1"/>
      <c r="S110" s="1"/>
      <c r="T110" s="1"/>
      <c r="U110" s="4"/>
      <c r="V110" s="1" t="s">
        <v>70</v>
      </c>
      <c r="W110" s="1"/>
      <c r="X110" s="1"/>
      <c r="Y110" s="1"/>
      <c r="Z110" s="1"/>
      <c r="AA110" s="1"/>
      <c r="AB110" s="1"/>
      <c r="AC110" s="1"/>
      <c r="AD110" s="1"/>
      <c r="AE110" s="1"/>
      <c r="AF110" s="2"/>
      <c r="AG110" s="2"/>
      <c r="AH110" s="2"/>
      <c r="AI110" s="2"/>
      <c r="AJ110" s="2"/>
      <c r="AK110" s="2"/>
      <c r="AL110" s="2"/>
      <c r="AM110" s="2"/>
      <c r="AN110" s="1"/>
      <c r="AO110" s="1"/>
      <c r="AP110" s="2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9" customHeight="1" x14ac:dyDescent="0.3">
      <c r="A111" s="5"/>
      <c r="B111" s="62"/>
      <c r="C111" s="1" t="s">
        <v>266</v>
      </c>
      <c r="D111" s="1">
        <f t="shared" si="2"/>
        <v>107</v>
      </c>
      <c r="E111" s="1" t="s">
        <v>271</v>
      </c>
      <c r="F111" s="1" t="s">
        <v>248</v>
      </c>
      <c r="G111" s="1"/>
      <c r="H111" s="1" t="s">
        <v>162</v>
      </c>
      <c r="I111" s="1"/>
      <c r="J111" s="1" t="s">
        <v>66</v>
      </c>
      <c r="K111" s="1"/>
      <c r="L111" s="1" t="s">
        <v>77</v>
      </c>
      <c r="M111" s="1"/>
      <c r="N111" s="1"/>
      <c r="O111" s="1"/>
      <c r="P111" s="1"/>
      <c r="Q111" s="1"/>
      <c r="R111" s="1"/>
      <c r="S111" s="1"/>
      <c r="T111" s="1"/>
      <c r="U111" s="4"/>
      <c r="V111" s="1" t="s">
        <v>70</v>
      </c>
      <c r="W111" s="1"/>
      <c r="X111" s="1"/>
      <c r="Y111" s="1"/>
      <c r="Z111" s="1"/>
      <c r="AA111" s="1"/>
      <c r="AB111" s="1"/>
      <c r="AC111" s="1"/>
      <c r="AD111" s="1"/>
      <c r="AE111" s="1"/>
      <c r="AF111" s="2"/>
      <c r="AG111" s="2"/>
      <c r="AH111" s="2"/>
      <c r="AI111" s="2"/>
      <c r="AJ111" s="2"/>
      <c r="AK111" s="2"/>
      <c r="AL111" s="2"/>
      <c r="AM111" s="2"/>
      <c r="AN111" s="1"/>
      <c r="AO111" s="1"/>
      <c r="AP111" s="2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9" customHeight="1" x14ac:dyDescent="0.3">
      <c r="A112" s="5"/>
      <c r="B112" s="62"/>
      <c r="C112" s="1" t="s">
        <v>266</v>
      </c>
      <c r="D112" s="1">
        <f t="shared" si="2"/>
        <v>108</v>
      </c>
      <c r="E112" s="1" t="s">
        <v>272</v>
      </c>
      <c r="F112" s="1" t="s">
        <v>248</v>
      </c>
      <c r="G112" s="1"/>
      <c r="H112" s="1" t="s">
        <v>162</v>
      </c>
      <c r="I112" s="1"/>
      <c r="J112" s="1" t="s">
        <v>66</v>
      </c>
      <c r="K112" s="1" t="s">
        <v>272</v>
      </c>
      <c r="L112" s="1" t="s">
        <v>77</v>
      </c>
      <c r="M112" s="1"/>
      <c r="N112" s="1"/>
      <c r="O112" s="1"/>
      <c r="P112" s="1"/>
      <c r="Q112" s="1"/>
      <c r="R112" s="1"/>
      <c r="S112" s="1"/>
      <c r="T112" s="1"/>
      <c r="U112" s="4"/>
      <c r="V112" s="1" t="s">
        <v>70</v>
      </c>
      <c r="W112" s="1"/>
      <c r="X112" s="1"/>
      <c r="Y112" s="1"/>
      <c r="Z112" s="1"/>
      <c r="AA112" s="1"/>
      <c r="AB112" s="1"/>
      <c r="AC112" s="1"/>
      <c r="AD112" s="1"/>
      <c r="AE112" s="1"/>
      <c r="AF112" s="2"/>
      <c r="AG112" s="2"/>
      <c r="AH112" s="2"/>
      <c r="AI112" s="2"/>
      <c r="AJ112" s="2"/>
      <c r="AK112" s="2"/>
      <c r="AL112" s="2"/>
      <c r="AM112" s="2"/>
      <c r="AN112" s="1"/>
      <c r="AO112" s="1"/>
      <c r="AP112" s="2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9" customHeight="1" x14ac:dyDescent="0.3">
      <c r="A113" s="5"/>
      <c r="B113" s="62"/>
      <c r="C113" s="1" t="s">
        <v>266</v>
      </c>
      <c r="D113" s="1">
        <f t="shared" si="2"/>
        <v>109</v>
      </c>
      <c r="E113" s="1" t="s">
        <v>273</v>
      </c>
      <c r="F113" s="1" t="s">
        <v>248</v>
      </c>
      <c r="G113" s="1"/>
      <c r="H113" s="1" t="s">
        <v>162</v>
      </c>
      <c r="I113" s="1"/>
      <c r="J113" s="1" t="s">
        <v>66</v>
      </c>
      <c r="K113" s="1"/>
      <c r="L113" s="1" t="s">
        <v>77</v>
      </c>
      <c r="M113" s="1"/>
      <c r="N113" s="1"/>
      <c r="O113" s="1"/>
      <c r="P113" s="1"/>
      <c r="Q113" s="1"/>
      <c r="R113" s="1"/>
      <c r="S113" s="1"/>
      <c r="T113" s="1"/>
      <c r="U113" s="4"/>
      <c r="V113" s="1" t="s">
        <v>70</v>
      </c>
      <c r="W113" s="1"/>
      <c r="X113" s="1"/>
      <c r="Y113" s="1"/>
      <c r="Z113" s="1"/>
      <c r="AA113" s="1"/>
      <c r="AB113" s="1"/>
      <c r="AC113" s="1"/>
      <c r="AD113" s="1"/>
      <c r="AE113" s="1"/>
      <c r="AF113" s="2"/>
      <c r="AG113" s="2"/>
      <c r="AH113" s="2"/>
      <c r="AI113" s="2"/>
      <c r="AJ113" s="2"/>
      <c r="AK113" s="2"/>
      <c r="AL113" s="2"/>
      <c r="AM113" s="2"/>
      <c r="AN113" s="1"/>
      <c r="AO113" s="1"/>
      <c r="AP113" s="2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9" customHeight="1" x14ac:dyDescent="0.3">
      <c r="A114" s="5"/>
      <c r="B114" s="62"/>
      <c r="C114" s="1" t="s">
        <v>266</v>
      </c>
      <c r="D114" s="1">
        <f t="shared" si="2"/>
        <v>110</v>
      </c>
      <c r="E114" s="1" t="s">
        <v>274</v>
      </c>
      <c r="F114" s="1" t="s">
        <v>248</v>
      </c>
      <c r="G114" s="1"/>
      <c r="H114" s="1" t="s">
        <v>162</v>
      </c>
      <c r="I114" s="1"/>
      <c r="J114" s="1" t="s">
        <v>66</v>
      </c>
      <c r="K114" s="1"/>
      <c r="L114" s="1" t="s">
        <v>77</v>
      </c>
      <c r="M114" s="1"/>
      <c r="N114" s="1"/>
      <c r="O114" s="1"/>
      <c r="P114" s="1"/>
      <c r="Q114" s="1"/>
      <c r="R114" s="1"/>
      <c r="S114" s="1"/>
      <c r="T114" s="1"/>
      <c r="U114" s="4"/>
      <c r="V114" s="1" t="s">
        <v>70</v>
      </c>
      <c r="W114" s="1"/>
      <c r="X114" s="1"/>
      <c r="Y114" s="1"/>
      <c r="Z114" s="1"/>
      <c r="AA114" s="1"/>
      <c r="AB114" s="1"/>
      <c r="AC114" s="1"/>
      <c r="AD114" s="1"/>
      <c r="AE114" s="1"/>
      <c r="AF114" s="2"/>
      <c r="AG114" s="2"/>
      <c r="AH114" s="2"/>
      <c r="AI114" s="2"/>
      <c r="AJ114" s="2"/>
      <c r="AK114" s="2"/>
      <c r="AL114" s="2"/>
      <c r="AM114" s="2"/>
      <c r="AN114" s="1"/>
      <c r="AO114" s="1"/>
      <c r="AP114" s="2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9" customHeight="1" x14ac:dyDescent="0.3">
      <c r="A115" s="5"/>
      <c r="B115" s="62"/>
      <c r="C115" s="1" t="s">
        <v>266</v>
      </c>
      <c r="D115" s="1">
        <f t="shared" si="2"/>
        <v>111</v>
      </c>
      <c r="E115" s="1" t="s">
        <v>274</v>
      </c>
      <c r="F115" s="1" t="s">
        <v>248</v>
      </c>
      <c r="G115" s="1"/>
      <c r="H115" s="1" t="s">
        <v>162</v>
      </c>
      <c r="I115" s="1"/>
      <c r="J115" s="1" t="s">
        <v>66</v>
      </c>
      <c r="K115" s="1"/>
      <c r="L115" s="1" t="s">
        <v>77</v>
      </c>
      <c r="M115" s="1"/>
      <c r="N115" s="1"/>
      <c r="O115" s="1"/>
      <c r="P115" s="1"/>
      <c r="Q115" s="1"/>
      <c r="R115" s="1"/>
      <c r="S115" s="1"/>
      <c r="T115" s="1"/>
      <c r="U115" s="4"/>
      <c r="V115" s="1" t="s">
        <v>70</v>
      </c>
      <c r="W115" s="1"/>
      <c r="X115" s="1"/>
      <c r="Y115" s="1"/>
      <c r="Z115" s="1"/>
      <c r="AA115" s="1"/>
      <c r="AB115" s="1"/>
      <c r="AC115" s="1"/>
      <c r="AD115" s="1"/>
      <c r="AE115" s="1"/>
      <c r="AF115" s="2"/>
      <c r="AG115" s="2"/>
      <c r="AH115" s="2"/>
      <c r="AI115" s="2"/>
      <c r="AJ115" s="2"/>
      <c r="AK115" s="2"/>
      <c r="AL115" s="2"/>
      <c r="AM115" s="2"/>
      <c r="AN115" s="1"/>
      <c r="AO115" s="1"/>
      <c r="AP115" s="2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9" customHeight="1" x14ac:dyDescent="0.3">
      <c r="A116" s="5"/>
      <c r="B116" s="62"/>
      <c r="C116" s="1" t="s">
        <v>266</v>
      </c>
      <c r="D116" s="1">
        <f t="shared" si="2"/>
        <v>112</v>
      </c>
      <c r="E116" s="1" t="s">
        <v>275</v>
      </c>
      <c r="F116" s="1" t="s">
        <v>248</v>
      </c>
      <c r="G116" s="1"/>
      <c r="H116" s="1" t="s">
        <v>162</v>
      </c>
      <c r="I116" s="1"/>
      <c r="J116" s="1" t="s">
        <v>66</v>
      </c>
      <c r="K116" s="1" t="s">
        <v>275</v>
      </c>
      <c r="L116" s="1" t="s">
        <v>77</v>
      </c>
      <c r="M116" s="1"/>
      <c r="N116" s="1"/>
      <c r="O116" s="1"/>
      <c r="P116" s="1"/>
      <c r="Q116" s="1"/>
      <c r="R116" s="1"/>
      <c r="S116" s="1"/>
      <c r="T116" s="1"/>
      <c r="U116" s="4"/>
      <c r="V116" s="1" t="s">
        <v>70</v>
      </c>
      <c r="W116" s="1"/>
      <c r="X116" s="1"/>
      <c r="Y116" s="1"/>
      <c r="Z116" s="1"/>
      <c r="AA116" s="1"/>
      <c r="AB116" s="1"/>
      <c r="AC116" s="1"/>
      <c r="AD116" s="1"/>
      <c r="AE116" s="1"/>
      <c r="AF116" s="2"/>
      <c r="AG116" s="2"/>
      <c r="AH116" s="2"/>
      <c r="AI116" s="2"/>
      <c r="AJ116" s="2"/>
      <c r="AK116" s="2"/>
      <c r="AL116" s="2"/>
      <c r="AM116" s="2"/>
      <c r="AN116" s="1"/>
      <c r="AO116" s="1"/>
      <c r="AP116" s="2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5" x14ac:dyDescent="0.3">
      <c r="A117" s="5"/>
      <c r="B117" s="62"/>
      <c r="C117" s="1"/>
      <c r="D117" s="1">
        <f t="shared" si="2"/>
        <v>113</v>
      </c>
      <c r="E117" s="1" t="s">
        <v>276</v>
      </c>
      <c r="F117" s="1" t="s">
        <v>248</v>
      </c>
      <c r="G117" s="1"/>
      <c r="H117" s="1" t="s">
        <v>64</v>
      </c>
      <c r="I117" s="1" t="s">
        <v>65</v>
      </c>
      <c r="J117" s="1" t="s">
        <v>66</v>
      </c>
      <c r="K117" s="1" t="s">
        <v>276</v>
      </c>
      <c r="L117" s="1" t="s">
        <v>68</v>
      </c>
      <c r="M117" s="1"/>
      <c r="N117" s="1"/>
      <c r="O117" s="1"/>
      <c r="P117" s="1"/>
      <c r="Q117" s="1"/>
      <c r="R117" s="1"/>
      <c r="S117" s="1"/>
      <c r="T117" s="1"/>
      <c r="U117" s="4" t="s">
        <v>277</v>
      </c>
      <c r="V117" s="1" t="s">
        <v>70</v>
      </c>
      <c r="W117" s="1" t="s">
        <v>71</v>
      </c>
      <c r="X117" s="1" t="s">
        <v>72</v>
      </c>
      <c r="Y117" s="1" t="s">
        <v>47</v>
      </c>
      <c r="Z117" s="1"/>
      <c r="AA117" s="1"/>
      <c r="AB117" s="1"/>
      <c r="AC117" s="1"/>
      <c r="AD117" s="1"/>
      <c r="AE117" s="1"/>
      <c r="AF117" s="2"/>
      <c r="AG117" s="2"/>
      <c r="AH117" s="2"/>
      <c r="AI117" s="2"/>
      <c r="AJ117" s="2"/>
      <c r="AK117" s="2"/>
      <c r="AL117" s="2"/>
      <c r="AM117" s="2"/>
      <c r="AN117" s="1"/>
      <c r="AO117" s="1"/>
      <c r="AP117" s="2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5" x14ac:dyDescent="0.3">
      <c r="A118" s="5"/>
      <c r="B118" s="62"/>
      <c r="C118" s="1"/>
      <c r="D118" s="1">
        <f t="shared" si="2"/>
        <v>114</v>
      </c>
      <c r="E118" s="1" t="s">
        <v>278</v>
      </c>
      <c r="F118" s="1" t="s">
        <v>248</v>
      </c>
      <c r="G118" s="1"/>
      <c r="H118" s="1" t="s">
        <v>64</v>
      </c>
      <c r="I118" s="1" t="s">
        <v>147</v>
      </c>
      <c r="J118" s="1" t="s">
        <v>66</v>
      </c>
      <c r="K118" s="1" t="s">
        <v>278</v>
      </c>
      <c r="L118" s="1" t="s">
        <v>77</v>
      </c>
      <c r="M118" s="1"/>
      <c r="N118" s="1"/>
      <c r="O118" s="1"/>
      <c r="P118" s="1"/>
      <c r="Q118" s="1"/>
      <c r="R118" s="1"/>
      <c r="S118" s="1"/>
      <c r="T118" s="1"/>
      <c r="U118" s="4" t="s">
        <v>279</v>
      </c>
      <c r="V118" s="1" t="s">
        <v>70</v>
      </c>
      <c r="W118" s="1"/>
      <c r="X118" s="1"/>
      <c r="Y118" s="1"/>
      <c r="Z118" s="1"/>
      <c r="AA118" s="1"/>
      <c r="AB118" s="1"/>
      <c r="AC118" s="1"/>
      <c r="AD118" s="1"/>
      <c r="AE118" s="1"/>
      <c r="AF118" s="2"/>
      <c r="AG118" s="2"/>
      <c r="AH118" s="2"/>
      <c r="AI118" s="2"/>
      <c r="AJ118" s="2"/>
      <c r="AK118" s="2"/>
      <c r="AL118" s="2"/>
      <c r="AM118" s="2"/>
      <c r="AN118" s="1"/>
      <c r="AO118" s="1"/>
      <c r="AP118" s="2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9" customHeight="1" x14ac:dyDescent="0.3">
      <c r="A119" s="5"/>
      <c r="B119" s="62"/>
      <c r="C119" s="1"/>
      <c r="D119" s="1">
        <f t="shared" si="2"/>
        <v>115</v>
      </c>
      <c r="E119" s="1" t="s">
        <v>280</v>
      </c>
      <c r="F119" s="1" t="s">
        <v>248</v>
      </c>
      <c r="G119" s="1"/>
      <c r="H119" s="1" t="s">
        <v>162</v>
      </c>
      <c r="I119" s="1"/>
      <c r="J119" s="1" t="s">
        <v>66</v>
      </c>
      <c r="K119" s="1"/>
      <c r="L119" s="1" t="s">
        <v>77</v>
      </c>
      <c r="M119" s="1"/>
      <c r="N119" s="1"/>
      <c r="O119" s="1"/>
      <c r="P119" s="1"/>
      <c r="Q119" s="1"/>
      <c r="R119" s="1"/>
      <c r="S119" s="1"/>
      <c r="T119" s="1"/>
      <c r="U119" s="4"/>
      <c r="V119" s="1" t="s">
        <v>70</v>
      </c>
      <c r="W119" s="1"/>
      <c r="X119" s="1"/>
      <c r="Y119" s="1"/>
      <c r="Z119" s="1"/>
      <c r="AA119" s="1"/>
      <c r="AB119" s="1"/>
      <c r="AC119" s="1"/>
      <c r="AD119" s="1"/>
      <c r="AE119" s="1"/>
      <c r="AF119" s="2"/>
      <c r="AG119" s="2"/>
      <c r="AH119" s="2"/>
      <c r="AI119" s="2"/>
      <c r="AJ119" s="2"/>
      <c r="AK119" s="2"/>
      <c r="AL119" s="2"/>
      <c r="AM119" s="2"/>
      <c r="AN119" s="1"/>
      <c r="AO119" s="1"/>
      <c r="AP119" s="2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9" customHeight="1" x14ac:dyDescent="0.3">
      <c r="A120" s="5"/>
      <c r="B120" s="62"/>
      <c r="C120" s="1" t="s">
        <v>281</v>
      </c>
      <c r="D120" s="1">
        <f t="shared" si="2"/>
        <v>116</v>
      </c>
      <c r="E120" s="1" t="s">
        <v>282</v>
      </c>
      <c r="F120" s="1" t="s">
        <v>248</v>
      </c>
      <c r="G120" s="1"/>
      <c r="H120" s="1" t="s">
        <v>64</v>
      </c>
      <c r="I120" s="1" t="s">
        <v>65</v>
      </c>
      <c r="J120" s="1" t="s">
        <v>66</v>
      </c>
      <c r="K120" s="1" t="s">
        <v>282</v>
      </c>
      <c r="L120" s="1" t="s">
        <v>77</v>
      </c>
      <c r="M120" s="1"/>
      <c r="N120" s="1"/>
      <c r="O120" s="1"/>
      <c r="P120" s="1"/>
      <c r="Q120" s="1"/>
      <c r="R120" s="1"/>
      <c r="S120" s="1"/>
      <c r="T120" s="1"/>
      <c r="U120" s="4" t="s">
        <v>283</v>
      </c>
      <c r="V120" s="1" t="s">
        <v>284</v>
      </c>
      <c r="W120" s="1"/>
      <c r="X120" s="1"/>
      <c r="Y120" s="1"/>
      <c r="Z120" s="1"/>
      <c r="AA120" s="1"/>
      <c r="AB120" s="1"/>
      <c r="AC120" s="1"/>
      <c r="AD120" s="1"/>
      <c r="AE120" s="1"/>
      <c r="AF120" s="2"/>
      <c r="AG120" s="2"/>
      <c r="AH120" s="2"/>
      <c r="AI120" s="2"/>
      <c r="AJ120" s="2"/>
      <c r="AK120" s="2"/>
      <c r="AL120" s="2"/>
      <c r="AM120" s="2"/>
      <c r="AN120" s="1"/>
      <c r="AO120" s="1"/>
      <c r="AP120" s="2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9" customHeight="1" x14ac:dyDescent="0.3">
      <c r="A121" s="5"/>
      <c r="B121" s="62"/>
      <c r="C121" s="1" t="s">
        <v>281</v>
      </c>
      <c r="D121" s="1">
        <f t="shared" si="2"/>
        <v>117</v>
      </c>
      <c r="E121" s="1" t="s">
        <v>285</v>
      </c>
      <c r="F121" s="1" t="s">
        <v>248</v>
      </c>
      <c r="G121" s="1"/>
      <c r="H121" s="1" t="s">
        <v>64</v>
      </c>
      <c r="I121" s="1" t="s">
        <v>65</v>
      </c>
      <c r="J121" s="1" t="s">
        <v>66</v>
      </c>
      <c r="K121" s="1" t="s">
        <v>285</v>
      </c>
      <c r="L121" s="1" t="s">
        <v>77</v>
      </c>
      <c r="M121" s="1"/>
      <c r="N121" s="1"/>
      <c r="O121" s="1"/>
      <c r="P121" s="1"/>
      <c r="Q121" s="1"/>
      <c r="R121" s="1"/>
      <c r="S121" s="1"/>
      <c r="T121" s="1"/>
      <c r="U121" s="4" t="s">
        <v>286</v>
      </c>
      <c r="V121" s="1" t="s">
        <v>70</v>
      </c>
      <c r="W121" s="1"/>
      <c r="X121" s="1"/>
      <c r="Y121" s="1"/>
      <c r="Z121" s="1"/>
      <c r="AA121" s="1"/>
      <c r="AB121" s="1"/>
      <c r="AC121" s="1"/>
      <c r="AD121" s="1"/>
      <c r="AE121" s="1"/>
      <c r="AF121" s="2"/>
      <c r="AG121" s="2"/>
      <c r="AH121" s="2"/>
      <c r="AI121" s="2"/>
      <c r="AJ121" s="2"/>
      <c r="AK121" s="2"/>
      <c r="AL121" s="2"/>
      <c r="AM121" s="2"/>
      <c r="AN121" s="1"/>
      <c r="AO121" s="1"/>
      <c r="AP121" s="2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9" customHeight="1" x14ac:dyDescent="0.3">
      <c r="A122" s="5"/>
      <c r="B122" s="62"/>
      <c r="C122" s="1"/>
      <c r="D122" s="1">
        <f t="shared" si="2"/>
        <v>118</v>
      </c>
      <c r="E122" s="1" t="s">
        <v>287</v>
      </c>
      <c r="F122" s="1" t="s">
        <v>248</v>
      </c>
      <c r="G122" s="1"/>
      <c r="H122" s="1"/>
      <c r="I122" s="1" t="s">
        <v>147</v>
      </c>
      <c r="J122" s="1" t="s">
        <v>66</v>
      </c>
      <c r="K122" s="1"/>
      <c r="L122" s="1" t="s">
        <v>77</v>
      </c>
      <c r="M122" s="1"/>
      <c r="N122" s="1"/>
      <c r="O122" s="1"/>
      <c r="P122" s="1"/>
      <c r="Q122" s="1"/>
      <c r="R122" s="1"/>
      <c r="S122" s="1"/>
      <c r="T122" s="1"/>
      <c r="U122" s="4"/>
      <c r="V122" s="1" t="s">
        <v>79</v>
      </c>
      <c r="W122" s="1" t="s">
        <v>80</v>
      </c>
      <c r="X122" s="1" t="s">
        <v>81</v>
      </c>
      <c r="Y122" s="1"/>
      <c r="Z122" s="1"/>
      <c r="AA122" s="1"/>
      <c r="AB122" s="1"/>
      <c r="AC122" s="1"/>
      <c r="AD122" s="1"/>
      <c r="AE122" s="1"/>
      <c r="AF122" s="2"/>
      <c r="AG122" s="2"/>
      <c r="AH122" s="2"/>
      <c r="AI122" s="2"/>
      <c r="AJ122" s="2"/>
      <c r="AK122" s="2"/>
      <c r="AL122" s="2"/>
      <c r="AM122" s="2"/>
      <c r="AN122" s="1"/>
      <c r="AO122" s="1"/>
      <c r="AP122" s="2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9" customHeight="1" x14ac:dyDescent="0.3">
      <c r="A123" s="5"/>
      <c r="B123" s="62"/>
      <c r="C123" s="1"/>
      <c r="D123" s="1">
        <f t="shared" si="2"/>
        <v>119</v>
      </c>
      <c r="E123" s="1" t="s">
        <v>288</v>
      </c>
      <c r="F123" s="1" t="s">
        <v>248</v>
      </c>
      <c r="G123" s="1"/>
      <c r="H123" s="1" t="s">
        <v>162</v>
      </c>
      <c r="I123" s="1"/>
      <c r="J123" s="1" t="s">
        <v>66</v>
      </c>
      <c r="K123" s="1"/>
      <c r="L123" s="1" t="s">
        <v>77</v>
      </c>
      <c r="M123" s="1"/>
      <c r="N123" s="1"/>
      <c r="O123" s="1"/>
      <c r="P123" s="1"/>
      <c r="Q123" s="1"/>
      <c r="R123" s="1"/>
      <c r="S123" s="1"/>
      <c r="T123" s="1"/>
      <c r="U123" s="4"/>
      <c r="V123" s="1" t="s">
        <v>70</v>
      </c>
      <c r="W123" s="1"/>
      <c r="X123" s="1"/>
      <c r="Y123" s="1"/>
      <c r="Z123" s="1"/>
      <c r="AA123" s="1"/>
      <c r="AB123" s="1"/>
      <c r="AC123" s="1"/>
      <c r="AD123" s="1"/>
      <c r="AE123" s="1"/>
      <c r="AF123" s="2"/>
      <c r="AG123" s="2"/>
      <c r="AH123" s="2"/>
      <c r="AI123" s="2"/>
      <c r="AJ123" s="2"/>
      <c r="AK123" s="2"/>
      <c r="AL123" s="2"/>
      <c r="AM123" s="2"/>
      <c r="AN123" s="1"/>
      <c r="AO123" s="1"/>
      <c r="AP123" s="2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9" customHeight="1" x14ac:dyDescent="0.3">
      <c r="A124" s="5"/>
      <c r="B124" s="62"/>
      <c r="C124" s="1"/>
      <c r="D124" s="1">
        <f t="shared" si="2"/>
        <v>120</v>
      </c>
      <c r="E124" s="1" t="s">
        <v>289</v>
      </c>
      <c r="F124" s="1" t="s">
        <v>248</v>
      </c>
      <c r="G124" s="1"/>
      <c r="H124" s="1" t="s">
        <v>162</v>
      </c>
      <c r="I124" s="1"/>
      <c r="J124" s="1" t="s">
        <v>66</v>
      </c>
      <c r="K124" s="1"/>
      <c r="L124" s="1" t="s">
        <v>77</v>
      </c>
      <c r="M124" s="1"/>
      <c r="N124" s="1"/>
      <c r="O124" s="1"/>
      <c r="P124" s="1"/>
      <c r="Q124" s="1"/>
      <c r="R124" s="1"/>
      <c r="S124" s="1"/>
      <c r="T124" s="1"/>
      <c r="U124" s="4"/>
      <c r="V124" s="1" t="s">
        <v>70</v>
      </c>
      <c r="W124" s="1"/>
      <c r="X124" s="1"/>
      <c r="Y124" s="1"/>
      <c r="Z124" s="1"/>
      <c r="AA124" s="1"/>
      <c r="AB124" s="1"/>
      <c r="AC124" s="1"/>
      <c r="AD124" s="1"/>
      <c r="AE124" s="1"/>
      <c r="AF124" s="2"/>
      <c r="AG124" s="2"/>
      <c r="AH124" s="2"/>
      <c r="AI124" s="2"/>
      <c r="AJ124" s="2"/>
      <c r="AK124" s="2"/>
      <c r="AL124" s="2"/>
      <c r="AM124" s="2"/>
      <c r="AN124" s="1"/>
      <c r="AO124" s="1"/>
      <c r="AP124" s="2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9" customHeight="1" x14ac:dyDescent="0.3">
      <c r="A125" s="5"/>
      <c r="B125" s="62"/>
      <c r="C125" s="1"/>
      <c r="D125" s="1">
        <f t="shared" si="2"/>
        <v>121</v>
      </c>
      <c r="E125" s="1" t="s">
        <v>290</v>
      </c>
      <c r="F125" s="1" t="s">
        <v>248</v>
      </c>
      <c r="G125" s="1"/>
      <c r="H125" s="1" t="s">
        <v>162</v>
      </c>
      <c r="I125" s="1"/>
      <c r="J125" s="1" t="s">
        <v>66</v>
      </c>
      <c r="K125" s="1"/>
      <c r="L125" s="1" t="s">
        <v>77</v>
      </c>
      <c r="M125" s="1"/>
      <c r="N125" s="1"/>
      <c r="O125" s="1"/>
      <c r="P125" s="1"/>
      <c r="Q125" s="1"/>
      <c r="R125" s="1"/>
      <c r="S125" s="1"/>
      <c r="T125" s="1"/>
      <c r="U125" s="4"/>
      <c r="V125" s="1" t="s">
        <v>70</v>
      </c>
      <c r="W125" s="1"/>
      <c r="X125" s="1"/>
      <c r="Y125" s="1"/>
      <c r="Z125" s="1"/>
      <c r="AA125" s="1"/>
      <c r="AB125" s="1"/>
      <c r="AC125" s="1"/>
      <c r="AD125" s="1"/>
      <c r="AE125" s="1"/>
      <c r="AF125" s="2"/>
      <c r="AG125" s="2"/>
      <c r="AH125" s="2"/>
      <c r="AI125" s="2"/>
      <c r="AJ125" s="2"/>
      <c r="AK125" s="2"/>
      <c r="AL125" s="2"/>
      <c r="AM125" s="2"/>
      <c r="AN125" s="1"/>
      <c r="AO125" s="1"/>
      <c r="AP125" s="2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9" customHeight="1" x14ac:dyDescent="0.3">
      <c r="A126" s="5"/>
      <c r="B126" s="62"/>
      <c r="C126" s="1" t="s">
        <v>291</v>
      </c>
      <c r="D126" s="1">
        <f t="shared" si="2"/>
        <v>122</v>
      </c>
      <c r="E126" s="1" t="s">
        <v>292</v>
      </c>
      <c r="F126" s="1" t="s">
        <v>248</v>
      </c>
      <c r="G126" s="1"/>
      <c r="H126" s="1"/>
      <c r="I126" s="1"/>
      <c r="J126" s="1" t="s">
        <v>66</v>
      </c>
      <c r="K126" s="1"/>
      <c r="L126" s="1" t="s">
        <v>77</v>
      </c>
      <c r="M126" s="1"/>
      <c r="N126" s="1"/>
      <c r="O126" s="1"/>
      <c r="P126" s="1"/>
      <c r="Q126" s="1"/>
      <c r="R126" s="1"/>
      <c r="S126" s="1"/>
      <c r="T126" s="1"/>
      <c r="U126" s="4"/>
      <c r="V126" s="1" t="s">
        <v>88</v>
      </c>
      <c r="W126" s="1"/>
      <c r="X126" s="1"/>
      <c r="Y126" s="1"/>
      <c r="Z126" s="1"/>
      <c r="AA126" s="1"/>
      <c r="AB126" s="1"/>
      <c r="AC126" s="1"/>
      <c r="AD126" s="1"/>
      <c r="AE126" s="1"/>
      <c r="AF126" s="2"/>
      <c r="AG126" s="2"/>
      <c r="AH126" s="2"/>
      <c r="AI126" s="2"/>
      <c r="AJ126" s="2"/>
      <c r="AK126" s="2"/>
      <c r="AL126" s="2"/>
      <c r="AM126" s="2"/>
      <c r="AN126" s="1"/>
      <c r="AO126" s="1"/>
      <c r="AP126" s="2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9" customHeight="1" x14ac:dyDescent="0.3">
      <c r="A127" s="5"/>
      <c r="B127" s="62"/>
      <c r="C127" s="1" t="s">
        <v>291</v>
      </c>
      <c r="D127" s="1">
        <f t="shared" si="2"/>
        <v>123</v>
      </c>
      <c r="E127" s="1" t="s">
        <v>293</v>
      </c>
      <c r="F127" s="1" t="s">
        <v>248</v>
      </c>
      <c r="G127" s="1"/>
      <c r="H127" s="1"/>
      <c r="I127" s="1"/>
      <c r="J127" s="1" t="s">
        <v>66</v>
      </c>
      <c r="K127" s="1"/>
      <c r="L127" s="1" t="s">
        <v>77</v>
      </c>
      <c r="M127" s="1"/>
      <c r="N127" s="1"/>
      <c r="O127" s="1"/>
      <c r="P127" s="1"/>
      <c r="Q127" s="1"/>
      <c r="R127" s="1"/>
      <c r="S127" s="1"/>
      <c r="T127" s="1"/>
      <c r="U127" s="4"/>
      <c r="V127" s="1" t="s">
        <v>88</v>
      </c>
      <c r="W127" s="1"/>
      <c r="X127" s="1"/>
      <c r="Y127" s="1"/>
      <c r="Z127" s="1"/>
      <c r="AA127" s="1"/>
      <c r="AB127" s="1"/>
      <c r="AC127" s="1"/>
      <c r="AD127" s="1"/>
      <c r="AE127" s="1"/>
      <c r="AF127" s="2"/>
      <c r="AG127" s="2"/>
      <c r="AH127" s="2"/>
      <c r="AI127" s="2"/>
      <c r="AJ127" s="2"/>
      <c r="AK127" s="2"/>
      <c r="AL127" s="2"/>
      <c r="AM127" s="2"/>
      <c r="AN127" s="1"/>
      <c r="AO127" s="1"/>
      <c r="AP127" s="2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9" customHeight="1" x14ac:dyDescent="0.3">
      <c r="A128" s="5"/>
      <c r="B128" s="62"/>
      <c r="C128" s="1" t="s">
        <v>291</v>
      </c>
      <c r="D128" s="1">
        <f t="shared" si="2"/>
        <v>124</v>
      </c>
      <c r="E128" s="1" t="s">
        <v>294</v>
      </c>
      <c r="F128" s="1" t="s">
        <v>248</v>
      </c>
      <c r="G128" s="1"/>
      <c r="H128" s="1"/>
      <c r="I128" s="1"/>
      <c r="J128" s="1" t="s">
        <v>66</v>
      </c>
      <c r="K128" s="1"/>
      <c r="L128" s="1" t="s">
        <v>77</v>
      </c>
      <c r="M128" s="1"/>
      <c r="N128" s="1"/>
      <c r="O128" s="1"/>
      <c r="P128" s="1"/>
      <c r="Q128" s="1"/>
      <c r="R128" s="1"/>
      <c r="S128" s="1"/>
      <c r="T128" s="1"/>
      <c r="U128" s="4"/>
      <c r="V128" s="1" t="s">
        <v>88</v>
      </c>
      <c r="W128" s="1"/>
      <c r="X128" s="1"/>
      <c r="Y128" s="1"/>
      <c r="Z128" s="1"/>
      <c r="AA128" s="1"/>
      <c r="AB128" s="1"/>
      <c r="AC128" s="1"/>
      <c r="AD128" s="1"/>
      <c r="AE128" s="1"/>
      <c r="AF128" s="2"/>
      <c r="AG128" s="2"/>
      <c r="AH128" s="2"/>
      <c r="AI128" s="2"/>
      <c r="AJ128" s="2"/>
      <c r="AK128" s="2"/>
      <c r="AL128" s="2"/>
      <c r="AM128" s="2"/>
      <c r="AN128" s="1"/>
      <c r="AO128" s="1"/>
      <c r="AP128" s="2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9" customHeight="1" x14ac:dyDescent="0.3">
      <c r="A129" s="5"/>
      <c r="B129" s="62"/>
      <c r="C129" s="1" t="s">
        <v>291</v>
      </c>
      <c r="D129" s="1">
        <f t="shared" si="2"/>
        <v>125</v>
      </c>
      <c r="E129" s="1" t="s">
        <v>295</v>
      </c>
      <c r="F129" s="1" t="s">
        <v>248</v>
      </c>
      <c r="G129" s="1"/>
      <c r="H129" s="1"/>
      <c r="I129" s="1"/>
      <c r="J129" s="1" t="s">
        <v>66</v>
      </c>
      <c r="K129" s="1"/>
      <c r="L129" s="1" t="s">
        <v>77</v>
      </c>
      <c r="M129" s="1"/>
      <c r="N129" s="1"/>
      <c r="O129" s="1"/>
      <c r="P129" s="1"/>
      <c r="Q129" s="1"/>
      <c r="R129" s="1"/>
      <c r="S129" s="1"/>
      <c r="T129" s="1"/>
      <c r="U129" s="4"/>
      <c r="V129" s="1" t="s">
        <v>88</v>
      </c>
      <c r="W129" s="1"/>
      <c r="X129" s="1"/>
      <c r="Y129" s="1"/>
      <c r="Z129" s="1"/>
      <c r="AA129" s="1"/>
      <c r="AB129" s="1"/>
      <c r="AC129" s="1"/>
      <c r="AD129" s="1"/>
      <c r="AE129" s="1"/>
      <c r="AF129" s="2"/>
      <c r="AG129" s="2"/>
      <c r="AH129" s="2"/>
      <c r="AI129" s="2"/>
      <c r="AJ129" s="2"/>
      <c r="AK129" s="2"/>
      <c r="AL129" s="2"/>
      <c r="AM129" s="2"/>
      <c r="AN129" s="1"/>
      <c r="AO129" s="1"/>
      <c r="AP129" s="2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9" customHeight="1" x14ac:dyDescent="0.3">
      <c r="A130" s="5"/>
      <c r="B130" s="62"/>
      <c r="C130" s="1" t="s">
        <v>291</v>
      </c>
      <c r="D130" s="1">
        <f t="shared" si="2"/>
        <v>126</v>
      </c>
      <c r="E130" s="1" t="s">
        <v>296</v>
      </c>
      <c r="F130" s="1" t="s">
        <v>248</v>
      </c>
      <c r="G130" s="1"/>
      <c r="H130" s="1"/>
      <c r="I130" s="1"/>
      <c r="J130" s="1" t="s">
        <v>66</v>
      </c>
      <c r="K130" s="1"/>
      <c r="L130" s="1" t="s">
        <v>77</v>
      </c>
      <c r="M130" s="1"/>
      <c r="N130" s="1"/>
      <c r="O130" s="1"/>
      <c r="P130" s="1"/>
      <c r="Q130" s="1"/>
      <c r="R130" s="1"/>
      <c r="S130" s="1"/>
      <c r="T130" s="1"/>
      <c r="U130" s="4"/>
      <c r="V130" s="1" t="s">
        <v>88</v>
      </c>
      <c r="W130" s="1"/>
      <c r="X130" s="1"/>
      <c r="Y130" s="1"/>
      <c r="Z130" s="1"/>
      <c r="AA130" s="1"/>
      <c r="AB130" s="1"/>
      <c r="AC130" s="1"/>
      <c r="AD130" s="1"/>
      <c r="AE130" s="1"/>
      <c r="AF130" s="2"/>
      <c r="AG130" s="2"/>
      <c r="AH130" s="2"/>
      <c r="AI130" s="2"/>
      <c r="AJ130" s="2"/>
      <c r="AK130" s="2"/>
      <c r="AL130" s="2"/>
      <c r="AM130" s="2"/>
      <c r="AN130" s="1"/>
      <c r="AO130" s="1"/>
      <c r="AP130" s="2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9" customHeight="1" x14ac:dyDescent="0.3">
      <c r="A131" s="5"/>
      <c r="B131" s="62"/>
      <c r="C131" s="1" t="s">
        <v>291</v>
      </c>
      <c r="D131" s="1">
        <f t="shared" si="2"/>
        <v>127</v>
      </c>
      <c r="E131" s="1" t="s">
        <v>297</v>
      </c>
      <c r="F131" s="1" t="s">
        <v>248</v>
      </c>
      <c r="G131" s="1"/>
      <c r="H131" s="1"/>
      <c r="I131" s="1"/>
      <c r="J131" s="1" t="s">
        <v>66</v>
      </c>
      <c r="K131" s="1"/>
      <c r="L131" s="1" t="s">
        <v>77</v>
      </c>
      <c r="M131" s="1"/>
      <c r="N131" s="1"/>
      <c r="O131" s="1"/>
      <c r="P131" s="1"/>
      <c r="Q131" s="1"/>
      <c r="R131" s="1"/>
      <c r="S131" s="1"/>
      <c r="T131" s="1"/>
      <c r="U131" s="4"/>
      <c r="V131" s="1" t="s">
        <v>88</v>
      </c>
      <c r="W131" s="1"/>
      <c r="X131" s="1"/>
      <c r="Y131" s="1"/>
      <c r="Z131" s="1"/>
      <c r="AA131" s="1"/>
      <c r="AB131" s="1"/>
      <c r="AC131" s="1"/>
      <c r="AD131" s="1"/>
      <c r="AE131" s="1"/>
      <c r="AF131" s="2"/>
      <c r="AG131" s="2"/>
      <c r="AH131" s="2"/>
      <c r="AI131" s="2"/>
      <c r="AJ131" s="2"/>
      <c r="AK131" s="2"/>
      <c r="AL131" s="2"/>
      <c r="AM131" s="2"/>
      <c r="AN131" s="1"/>
      <c r="AO131" s="1"/>
      <c r="AP131" s="2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9" customHeight="1" x14ac:dyDescent="0.3">
      <c r="A132" s="5"/>
      <c r="B132" s="62"/>
      <c r="C132" s="1" t="s">
        <v>291</v>
      </c>
      <c r="D132" s="1">
        <f t="shared" si="2"/>
        <v>128</v>
      </c>
      <c r="E132" s="1" t="s">
        <v>298</v>
      </c>
      <c r="F132" s="1" t="s">
        <v>248</v>
      </c>
      <c r="G132" s="1"/>
      <c r="H132" s="1"/>
      <c r="I132" s="1"/>
      <c r="J132" s="1" t="s">
        <v>66</v>
      </c>
      <c r="K132" s="1"/>
      <c r="L132" s="1" t="s">
        <v>77</v>
      </c>
      <c r="M132" s="1"/>
      <c r="N132" s="1"/>
      <c r="O132" s="1"/>
      <c r="P132" s="1"/>
      <c r="Q132" s="1"/>
      <c r="R132" s="1"/>
      <c r="S132" s="1"/>
      <c r="T132" s="1"/>
      <c r="U132" s="4"/>
      <c r="V132" s="1" t="s">
        <v>88</v>
      </c>
      <c r="W132" s="1"/>
      <c r="X132" s="1"/>
      <c r="Y132" s="1"/>
      <c r="Z132" s="1"/>
      <c r="AA132" s="1"/>
      <c r="AB132" s="1"/>
      <c r="AC132" s="1"/>
      <c r="AD132" s="1"/>
      <c r="AE132" s="1"/>
      <c r="AF132" s="2"/>
      <c r="AG132" s="2"/>
      <c r="AH132" s="2"/>
      <c r="AI132" s="2"/>
      <c r="AJ132" s="2"/>
      <c r="AK132" s="2"/>
      <c r="AL132" s="2"/>
      <c r="AM132" s="2"/>
      <c r="AN132" s="1"/>
      <c r="AO132" s="1"/>
      <c r="AP132" s="2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9" customHeight="1" x14ac:dyDescent="0.3">
      <c r="A133" s="5"/>
      <c r="B133" s="62" t="s">
        <v>299</v>
      </c>
      <c r="C133" s="1"/>
      <c r="D133" s="1">
        <f t="shared" ref="D133:D196" si="3">ROW()-4</f>
        <v>129</v>
      </c>
      <c r="E133" s="1" t="s">
        <v>300</v>
      </c>
      <c r="F133" s="1" t="s">
        <v>299</v>
      </c>
      <c r="G133" s="1"/>
      <c r="H133" s="1"/>
      <c r="I133" s="1"/>
      <c r="J133" s="1" t="s">
        <v>66</v>
      </c>
      <c r="K133" s="1"/>
      <c r="L133" s="1" t="s">
        <v>77</v>
      </c>
      <c r="M133" s="1"/>
      <c r="N133" s="1"/>
      <c r="O133" s="1"/>
      <c r="P133" s="1"/>
      <c r="Q133" s="1"/>
      <c r="R133" s="1"/>
      <c r="S133" s="1"/>
      <c r="T133" s="1"/>
      <c r="U133" s="4"/>
      <c r="V133" s="1" t="s">
        <v>70</v>
      </c>
      <c r="W133" s="1"/>
      <c r="X133" s="1"/>
      <c r="Y133" s="1"/>
      <c r="Z133" s="1"/>
      <c r="AA133" s="1"/>
      <c r="AB133" s="1"/>
      <c r="AC133" s="1"/>
      <c r="AD133" s="1"/>
      <c r="AE133" s="1"/>
      <c r="AF133" s="2"/>
      <c r="AG133" s="2"/>
      <c r="AH133" s="2"/>
      <c r="AI133" s="2"/>
      <c r="AJ133" s="2"/>
      <c r="AK133" s="2"/>
      <c r="AL133" s="2"/>
      <c r="AM133" s="2"/>
      <c r="AN133" s="1"/>
      <c r="AO133" s="1"/>
      <c r="AP133" s="2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9" customHeight="1" x14ac:dyDescent="0.3">
      <c r="A134" s="5"/>
      <c r="B134" s="62"/>
      <c r="C134" s="1"/>
      <c r="D134" s="1">
        <f t="shared" si="3"/>
        <v>130</v>
      </c>
      <c r="E134" s="1" t="s">
        <v>301</v>
      </c>
      <c r="F134" s="1" t="s">
        <v>299</v>
      </c>
      <c r="G134" s="1"/>
      <c r="H134" s="1"/>
      <c r="I134" s="1"/>
      <c r="J134" s="1" t="s">
        <v>66</v>
      </c>
      <c r="K134" s="1"/>
      <c r="L134" s="1" t="s">
        <v>77</v>
      </c>
      <c r="M134" s="1"/>
      <c r="N134" s="1"/>
      <c r="O134" s="1"/>
      <c r="P134" s="1"/>
      <c r="Q134" s="1"/>
      <c r="R134" s="1"/>
      <c r="S134" s="1"/>
      <c r="T134" s="1"/>
      <c r="U134" s="4"/>
      <c r="V134" s="1" t="s">
        <v>70</v>
      </c>
      <c r="W134" s="1"/>
      <c r="X134" s="1"/>
      <c r="Y134" s="1"/>
      <c r="Z134" s="1"/>
      <c r="AA134" s="1"/>
      <c r="AB134" s="1"/>
      <c r="AC134" s="1"/>
      <c r="AD134" s="1"/>
      <c r="AE134" s="1"/>
      <c r="AF134" s="2"/>
      <c r="AG134" s="2"/>
      <c r="AH134" s="2"/>
      <c r="AI134" s="2"/>
      <c r="AJ134" s="2"/>
      <c r="AK134" s="2"/>
      <c r="AL134" s="2"/>
      <c r="AM134" s="2"/>
      <c r="AN134" s="1"/>
      <c r="AO134" s="1"/>
      <c r="AP134" s="2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9" customHeight="1" x14ac:dyDescent="0.3">
      <c r="A135" s="5"/>
      <c r="B135" s="62"/>
      <c r="C135" s="1"/>
      <c r="D135" s="1">
        <f t="shared" si="3"/>
        <v>131</v>
      </c>
      <c r="E135" s="1" t="s">
        <v>302</v>
      </c>
      <c r="F135" s="1" t="s">
        <v>299</v>
      </c>
      <c r="G135" s="1"/>
      <c r="H135" s="1"/>
      <c r="I135" s="1"/>
      <c r="J135" s="1" t="s">
        <v>66</v>
      </c>
      <c r="K135" s="1"/>
      <c r="L135" s="1" t="s">
        <v>77</v>
      </c>
      <c r="M135" s="1"/>
      <c r="N135" s="1"/>
      <c r="O135" s="1"/>
      <c r="P135" s="1"/>
      <c r="Q135" s="1"/>
      <c r="R135" s="1"/>
      <c r="S135" s="1"/>
      <c r="T135" s="1"/>
      <c r="U135" s="4"/>
      <c r="V135" s="1" t="s">
        <v>70</v>
      </c>
      <c r="W135" s="1"/>
      <c r="X135" s="1"/>
      <c r="Y135" s="1"/>
      <c r="Z135" s="1"/>
      <c r="AA135" s="1"/>
      <c r="AB135" s="1"/>
      <c r="AC135" s="1"/>
      <c r="AD135" s="1"/>
      <c r="AE135" s="1"/>
      <c r="AF135" s="2"/>
      <c r="AG135" s="2"/>
      <c r="AH135" s="2"/>
      <c r="AI135" s="2"/>
      <c r="AJ135" s="2"/>
      <c r="AK135" s="2"/>
      <c r="AL135" s="2"/>
      <c r="AM135" s="2"/>
      <c r="AN135" s="1"/>
      <c r="AO135" s="1"/>
      <c r="AP135" s="2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9" customHeight="1" x14ac:dyDescent="0.3">
      <c r="A136" s="5"/>
      <c r="B136" s="62"/>
      <c r="C136" s="1"/>
      <c r="D136" s="1">
        <f t="shared" si="3"/>
        <v>132</v>
      </c>
      <c r="E136" s="1" t="s">
        <v>303</v>
      </c>
      <c r="F136" s="1" t="s">
        <v>299</v>
      </c>
      <c r="G136" s="1"/>
      <c r="H136" s="1"/>
      <c r="I136" s="1"/>
      <c r="J136" s="1" t="s">
        <v>66</v>
      </c>
      <c r="K136" s="1"/>
      <c r="L136" s="1" t="s">
        <v>77</v>
      </c>
      <c r="M136" s="1"/>
      <c r="N136" s="1"/>
      <c r="O136" s="1"/>
      <c r="P136" s="1"/>
      <c r="Q136" s="1"/>
      <c r="R136" s="1"/>
      <c r="S136" s="1"/>
      <c r="T136" s="1"/>
      <c r="U136" s="4"/>
      <c r="V136" s="1" t="s">
        <v>88</v>
      </c>
      <c r="W136" s="1"/>
      <c r="X136" s="1"/>
      <c r="Y136" s="1"/>
      <c r="Z136" s="1"/>
      <c r="AA136" s="1"/>
      <c r="AB136" s="1"/>
      <c r="AC136" s="1"/>
      <c r="AD136" s="1"/>
      <c r="AE136" s="1"/>
      <c r="AF136" s="2"/>
      <c r="AG136" s="2"/>
      <c r="AH136" s="2"/>
      <c r="AI136" s="2"/>
      <c r="AJ136" s="2"/>
      <c r="AK136" s="2"/>
      <c r="AL136" s="2"/>
      <c r="AM136" s="2"/>
      <c r="AN136" s="1"/>
      <c r="AO136" s="1"/>
      <c r="AP136" s="2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9" customHeight="1" x14ac:dyDescent="0.3">
      <c r="A137" s="5"/>
      <c r="B137" s="62"/>
      <c r="C137" s="1"/>
      <c r="D137" s="1">
        <f t="shared" si="3"/>
        <v>133</v>
      </c>
      <c r="E137" s="1" t="s">
        <v>304</v>
      </c>
      <c r="F137" s="1" t="s">
        <v>299</v>
      </c>
      <c r="G137" s="1"/>
      <c r="H137" s="1"/>
      <c r="I137" s="1"/>
      <c r="J137" s="1" t="s">
        <v>66</v>
      </c>
      <c r="K137" s="1"/>
      <c r="L137" s="1" t="s">
        <v>77</v>
      </c>
      <c r="M137" s="1"/>
      <c r="N137" s="1"/>
      <c r="O137" s="1"/>
      <c r="P137" s="1"/>
      <c r="Q137" s="1"/>
      <c r="R137" s="1"/>
      <c r="S137" s="1"/>
      <c r="T137" s="1"/>
      <c r="U137" s="4"/>
      <c r="V137" s="1" t="s">
        <v>70</v>
      </c>
      <c r="W137" s="1"/>
      <c r="X137" s="1"/>
      <c r="Y137" s="1"/>
      <c r="Z137" s="1"/>
      <c r="AA137" s="1"/>
      <c r="AB137" s="1"/>
      <c r="AC137" s="1"/>
      <c r="AD137" s="1"/>
      <c r="AE137" s="1"/>
      <c r="AF137" s="2"/>
      <c r="AG137" s="2"/>
      <c r="AH137" s="2"/>
      <c r="AI137" s="2"/>
      <c r="AJ137" s="2"/>
      <c r="AK137" s="2"/>
      <c r="AL137" s="2"/>
      <c r="AM137" s="2"/>
      <c r="AN137" s="1"/>
      <c r="AO137" s="1"/>
      <c r="AP137" s="2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9" customHeight="1" x14ac:dyDescent="0.3">
      <c r="A138" s="5"/>
      <c r="B138" s="62" t="s">
        <v>305</v>
      </c>
      <c r="C138" s="1" t="s">
        <v>306</v>
      </c>
      <c r="D138" s="1">
        <f t="shared" si="3"/>
        <v>134</v>
      </c>
      <c r="E138" s="1" t="s">
        <v>307</v>
      </c>
      <c r="F138" s="1" t="s">
        <v>305</v>
      </c>
      <c r="G138" s="1" t="s">
        <v>90</v>
      </c>
      <c r="H138" s="1" t="s">
        <v>162</v>
      </c>
      <c r="I138" s="1" t="s">
        <v>147</v>
      </c>
      <c r="J138" s="1" t="s">
        <v>66</v>
      </c>
      <c r="K138" s="1"/>
      <c r="L138" s="1" t="s">
        <v>77</v>
      </c>
      <c r="M138" s="1"/>
      <c r="N138" s="1"/>
      <c r="O138" s="1"/>
      <c r="P138" s="1"/>
      <c r="Q138" s="1"/>
      <c r="R138" s="1"/>
      <c r="S138" s="1"/>
      <c r="T138" s="1"/>
      <c r="U138" s="4"/>
      <c r="V138" s="1" t="s">
        <v>237</v>
      </c>
      <c r="W138" s="1"/>
      <c r="X138" s="1"/>
      <c r="Y138" s="1"/>
      <c r="Z138" s="1"/>
      <c r="AA138" s="1"/>
      <c r="AB138" s="1"/>
      <c r="AC138" s="1"/>
      <c r="AD138" s="1"/>
      <c r="AE138" s="1"/>
      <c r="AF138" s="2"/>
      <c r="AG138" s="2"/>
      <c r="AH138" s="2"/>
      <c r="AI138" s="2"/>
      <c r="AJ138" s="2"/>
      <c r="AK138" s="2"/>
      <c r="AL138" s="2"/>
      <c r="AM138" s="2"/>
      <c r="AN138" s="1"/>
      <c r="AO138" s="1"/>
      <c r="AP138" s="2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9" customHeight="1" x14ac:dyDescent="0.3">
      <c r="A139" s="5"/>
      <c r="B139" s="62"/>
      <c r="C139" s="1"/>
      <c r="D139" s="1">
        <f t="shared" si="3"/>
        <v>135</v>
      </c>
      <c r="E139" s="1" t="s">
        <v>308</v>
      </c>
      <c r="F139" s="1" t="s">
        <v>305</v>
      </c>
      <c r="G139" s="1" t="s">
        <v>90</v>
      </c>
      <c r="H139" s="1" t="s">
        <v>162</v>
      </c>
      <c r="I139" s="1" t="s">
        <v>147</v>
      </c>
      <c r="J139" s="1" t="s">
        <v>66</v>
      </c>
      <c r="K139" s="1"/>
      <c r="L139" s="1" t="s">
        <v>77</v>
      </c>
      <c r="M139" s="1"/>
      <c r="N139" s="1"/>
      <c r="O139" s="1"/>
      <c r="P139" s="1"/>
      <c r="Q139" s="1"/>
      <c r="R139" s="1"/>
      <c r="S139" s="1"/>
      <c r="T139" s="1"/>
      <c r="U139" s="4"/>
      <c r="V139" s="1" t="s">
        <v>237</v>
      </c>
      <c r="W139" s="1"/>
      <c r="X139" s="1"/>
      <c r="Y139" s="1"/>
      <c r="Z139" s="1"/>
      <c r="AA139" s="1"/>
      <c r="AB139" s="1"/>
      <c r="AC139" s="1"/>
      <c r="AD139" s="1"/>
      <c r="AE139" s="1"/>
      <c r="AF139" s="2"/>
      <c r="AG139" s="2"/>
      <c r="AH139" s="2"/>
      <c r="AI139" s="2"/>
      <c r="AJ139" s="2"/>
      <c r="AK139" s="2"/>
      <c r="AL139" s="2"/>
      <c r="AM139" s="2"/>
      <c r="AN139" s="1"/>
      <c r="AO139" s="1"/>
      <c r="AP139" s="2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9" customHeight="1" x14ac:dyDescent="0.3">
      <c r="A140" s="5"/>
      <c r="B140" s="62"/>
      <c r="C140" s="1"/>
      <c r="D140" s="1">
        <f t="shared" si="3"/>
        <v>136</v>
      </c>
      <c r="E140" s="1" t="s">
        <v>309</v>
      </c>
      <c r="F140" s="1" t="s">
        <v>305</v>
      </c>
      <c r="G140" s="1" t="s">
        <v>90</v>
      </c>
      <c r="H140" s="1" t="s">
        <v>162</v>
      </c>
      <c r="I140" s="1" t="s">
        <v>147</v>
      </c>
      <c r="J140" s="1" t="s">
        <v>66</v>
      </c>
      <c r="K140" s="1"/>
      <c r="L140" s="1" t="s">
        <v>77</v>
      </c>
      <c r="M140" s="1"/>
      <c r="N140" s="1"/>
      <c r="O140" s="1"/>
      <c r="P140" s="1"/>
      <c r="Q140" s="1"/>
      <c r="R140" s="1"/>
      <c r="S140" s="1"/>
      <c r="T140" s="1"/>
      <c r="U140" s="4"/>
      <c r="V140" s="1" t="s">
        <v>237</v>
      </c>
      <c r="W140" s="1"/>
      <c r="X140" s="1"/>
      <c r="Y140" s="1"/>
      <c r="Z140" s="1"/>
      <c r="AA140" s="1"/>
      <c r="AB140" s="1"/>
      <c r="AC140" s="1"/>
      <c r="AD140" s="1"/>
      <c r="AE140" s="1"/>
      <c r="AF140" s="2"/>
      <c r="AG140" s="2"/>
      <c r="AH140" s="2"/>
      <c r="AI140" s="2"/>
      <c r="AJ140" s="2"/>
      <c r="AK140" s="2"/>
      <c r="AL140" s="2"/>
      <c r="AM140" s="2"/>
      <c r="AN140" s="1"/>
      <c r="AO140" s="1"/>
      <c r="AP140" s="2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9" customHeight="1" x14ac:dyDescent="0.3">
      <c r="A141" s="5"/>
      <c r="B141" s="62"/>
      <c r="C141" s="1"/>
      <c r="D141" s="1">
        <f t="shared" si="3"/>
        <v>137</v>
      </c>
      <c r="E141" s="1" t="s">
        <v>310</v>
      </c>
      <c r="F141" s="1" t="s">
        <v>305</v>
      </c>
      <c r="G141" s="1" t="s">
        <v>90</v>
      </c>
      <c r="H141" s="1" t="s">
        <v>162</v>
      </c>
      <c r="I141" s="1" t="s">
        <v>147</v>
      </c>
      <c r="J141" s="1" t="s">
        <v>66</v>
      </c>
      <c r="K141" s="1"/>
      <c r="L141" s="1" t="s">
        <v>77</v>
      </c>
      <c r="M141" s="1"/>
      <c r="N141" s="1"/>
      <c r="O141" s="1"/>
      <c r="P141" s="1"/>
      <c r="Q141" s="1"/>
      <c r="R141" s="1"/>
      <c r="S141" s="1"/>
      <c r="T141" s="1"/>
      <c r="U141" s="4"/>
      <c r="V141" s="1" t="s">
        <v>237</v>
      </c>
      <c r="W141" s="1"/>
      <c r="X141" s="1"/>
      <c r="Y141" s="1"/>
      <c r="Z141" s="1"/>
      <c r="AA141" s="1"/>
      <c r="AB141" s="1"/>
      <c r="AC141" s="1"/>
      <c r="AD141" s="1"/>
      <c r="AE141" s="1"/>
      <c r="AF141" s="2"/>
      <c r="AG141" s="2"/>
      <c r="AH141" s="2"/>
      <c r="AI141" s="2"/>
      <c r="AJ141" s="2"/>
      <c r="AK141" s="2"/>
      <c r="AL141" s="2"/>
      <c r="AM141" s="2"/>
      <c r="AN141" s="1"/>
      <c r="AO141" s="1"/>
      <c r="AP141" s="2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9" customHeight="1" x14ac:dyDescent="0.3">
      <c r="A142" s="5"/>
      <c r="B142" s="62"/>
      <c r="C142" s="1"/>
      <c r="D142" s="1">
        <f t="shared" si="3"/>
        <v>138</v>
      </c>
      <c r="E142" s="1" t="s">
        <v>311</v>
      </c>
      <c r="F142" s="1" t="s">
        <v>305</v>
      </c>
      <c r="G142" s="1" t="s">
        <v>83</v>
      </c>
      <c r="H142" s="1" t="s">
        <v>64</v>
      </c>
      <c r="I142" s="1" t="s">
        <v>65</v>
      </c>
      <c r="J142" s="1" t="s">
        <v>66</v>
      </c>
      <c r="K142" s="1"/>
      <c r="L142" s="1" t="s">
        <v>77</v>
      </c>
      <c r="M142" s="1"/>
      <c r="N142" s="1"/>
      <c r="O142" s="1"/>
      <c r="P142" s="1"/>
      <c r="Q142" s="1"/>
      <c r="R142" s="1"/>
      <c r="S142" s="1"/>
      <c r="T142" s="1"/>
      <c r="U142" s="4" t="s">
        <v>312</v>
      </c>
      <c r="V142" s="1" t="s">
        <v>237</v>
      </c>
      <c r="W142" s="1" t="s">
        <v>313</v>
      </c>
      <c r="X142" s="1" t="s">
        <v>81</v>
      </c>
      <c r="Y142" s="1" t="s">
        <v>259</v>
      </c>
      <c r="Z142" s="1" t="s">
        <v>263</v>
      </c>
      <c r="AA142" s="3">
        <v>44866</v>
      </c>
      <c r="AB142" s="1"/>
      <c r="AC142" s="1"/>
      <c r="AD142" s="1"/>
      <c r="AE142" s="1"/>
      <c r="AF142" s="2"/>
      <c r="AG142" s="2">
        <v>2</v>
      </c>
      <c r="AH142" s="8">
        <v>44867</v>
      </c>
      <c r="AI142" s="8">
        <f>AH142+AG142-1</f>
        <v>44868</v>
      </c>
      <c r="AJ142" s="2"/>
      <c r="AK142" s="2"/>
      <c r="AL142" s="2"/>
      <c r="AM142" s="2"/>
      <c r="AN142" s="1"/>
      <c r="AO142" s="1"/>
      <c r="AP142" s="2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9" customHeight="1" x14ac:dyDescent="0.3">
      <c r="A143" s="5"/>
      <c r="B143" s="62"/>
      <c r="C143" s="1"/>
      <c r="D143" s="1">
        <f t="shared" si="3"/>
        <v>139</v>
      </c>
      <c r="E143" s="1" t="s">
        <v>314</v>
      </c>
      <c r="F143" s="1" t="s">
        <v>305</v>
      </c>
      <c r="G143" s="1" t="s">
        <v>90</v>
      </c>
      <c r="H143" s="1" t="s">
        <v>64</v>
      </c>
      <c r="I143" s="1" t="s">
        <v>65</v>
      </c>
      <c r="J143" s="1" t="s">
        <v>66</v>
      </c>
      <c r="K143" s="1"/>
      <c r="L143" s="1" t="s">
        <v>77</v>
      </c>
      <c r="M143" s="1"/>
      <c r="N143" s="1"/>
      <c r="O143" s="1"/>
      <c r="P143" s="1"/>
      <c r="Q143" s="1"/>
      <c r="R143" s="1"/>
      <c r="S143" s="1"/>
      <c r="T143" s="1"/>
      <c r="U143" s="4" t="s">
        <v>315</v>
      </c>
      <c r="V143" s="1" t="s">
        <v>237</v>
      </c>
      <c r="W143" s="1" t="s">
        <v>313</v>
      </c>
      <c r="X143" s="1" t="s">
        <v>81</v>
      </c>
      <c r="Y143" s="1" t="s">
        <v>259</v>
      </c>
      <c r="Z143" s="1" t="s">
        <v>263</v>
      </c>
      <c r="AA143" s="3">
        <v>44866</v>
      </c>
      <c r="AB143" s="1"/>
      <c r="AC143" s="1"/>
      <c r="AD143" s="1"/>
      <c r="AE143" s="1"/>
      <c r="AF143" s="2"/>
      <c r="AG143" s="2">
        <v>3</v>
      </c>
      <c r="AH143" s="8">
        <v>44869</v>
      </c>
      <c r="AI143" s="8">
        <f>AH143+AG143-1</f>
        <v>44871</v>
      </c>
      <c r="AJ143" s="2"/>
      <c r="AK143" s="2"/>
      <c r="AL143" s="2"/>
      <c r="AM143" s="2"/>
      <c r="AN143" s="1"/>
      <c r="AO143" s="1"/>
      <c r="AP143" s="2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9" customHeight="1" x14ac:dyDescent="0.3">
      <c r="A144" s="5"/>
      <c r="B144" s="62"/>
      <c r="C144" s="1"/>
      <c r="D144" s="1">
        <f t="shared" si="3"/>
        <v>140</v>
      </c>
      <c r="E144" s="1" t="s">
        <v>316</v>
      </c>
      <c r="F144" s="1" t="s">
        <v>305</v>
      </c>
      <c r="G144" s="1" t="s">
        <v>83</v>
      </c>
      <c r="H144" s="1" t="s">
        <v>64</v>
      </c>
      <c r="I144" s="1" t="s">
        <v>65</v>
      </c>
      <c r="J144" s="1" t="s">
        <v>66</v>
      </c>
      <c r="K144" s="1"/>
      <c r="L144" s="1" t="s">
        <v>77</v>
      </c>
      <c r="M144" s="1"/>
      <c r="N144" s="1"/>
      <c r="O144" s="1"/>
      <c r="P144" s="1"/>
      <c r="Q144" s="1"/>
      <c r="R144" s="1"/>
      <c r="S144" s="1"/>
      <c r="T144" s="1"/>
      <c r="U144" s="4" t="s">
        <v>317</v>
      </c>
      <c r="V144" s="1" t="s">
        <v>237</v>
      </c>
      <c r="W144" s="1" t="s">
        <v>313</v>
      </c>
      <c r="X144" s="1" t="s">
        <v>81</v>
      </c>
      <c r="Y144" s="1" t="s">
        <v>259</v>
      </c>
      <c r="Z144" s="1" t="s">
        <v>263</v>
      </c>
      <c r="AA144" s="3">
        <v>44866</v>
      </c>
      <c r="AB144" s="1"/>
      <c r="AC144" s="1"/>
      <c r="AD144" s="1"/>
      <c r="AE144" s="1"/>
      <c r="AF144" s="2"/>
      <c r="AG144" s="2">
        <v>5</v>
      </c>
      <c r="AH144" s="8">
        <v>44872</v>
      </c>
      <c r="AI144" s="8">
        <f>AH144+AG144-1</f>
        <v>44876</v>
      </c>
      <c r="AJ144" s="2"/>
      <c r="AK144" s="2"/>
      <c r="AL144" s="2"/>
      <c r="AM144" s="2"/>
      <c r="AN144" s="1"/>
      <c r="AO144" s="1"/>
      <c r="AP144" s="2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9" customHeight="1" x14ac:dyDescent="0.3">
      <c r="A145" s="5"/>
      <c r="B145" s="62"/>
      <c r="C145" s="1"/>
      <c r="D145" s="1">
        <f t="shared" si="3"/>
        <v>141</v>
      </c>
      <c r="E145" s="1" t="s">
        <v>318</v>
      </c>
      <c r="F145" s="1" t="s">
        <v>305</v>
      </c>
      <c r="G145" s="1" t="s">
        <v>90</v>
      </c>
      <c r="H145" s="1" t="s">
        <v>162</v>
      </c>
      <c r="I145" s="1" t="s">
        <v>147</v>
      </c>
      <c r="J145" s="1" t="s">
        <v>66</v>
      </c>
      <c r="K145" s="1"/>
      <c r="L145" s="1" t="s">
        <v>77</v>
      </c>
      <c r="M145" s="1"/>
      <c r="N145" s="1"/>
      <c r="O145" s="1"/>
      <c r="P145" s="1"/>
      <c r="Q145" s="1"/>
      <c r="R145" s="1"/>
      <c r="S145" s="1"/>
      <c r="T145" s="1"/>
      <c r="U145" s="4"/>
      <c r="V145" s="1" t="s">
        <v>237</v>
      </c>
      <c r="W145" s="1"/>
      <c r="X145" s="1"/>
      <c r="Y145" s="1"/>
      <c r="Z145" s="1"/>
      <c r="AA145" s="1"/>
      <c r="AB145" s="1"/>
      <c r="AC145" s="1"/>
      <c r="AD145" s="1"/>
      <c r="AE145" s="1"/>
      <c r="AF145" s="2"/>
      <c r="AG145" s="2"/>
      <c r="AH145" s="2"/>
      <c r="AI145" s="2"/>
      <c r="AJ145" s="2"/>
      <c r="AK145" s="2"/>
      <c r="AL145" s="2"/>
      <c r="AM145" s="2"/>
      <c r="AN145" s="1"/>
      <c r="AO145" s="1"/>
      <c r="AP145" s="2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9" customHeight="1" x14ac:dyDescent="0.3">
      <c r="A146" s="5"/>
      <c r="B146" s="1" t="s">
        <v>319</v>
      </c>
      <c r="C146" s="1"/>
      <c r="D146" s="1">
        <f t="shared" si="3"/>
        <v>142</v>
      </c>
      <c r="E146" s="1" t="s">
        <v>320</v>
      </c>
      <c r="F146" s="1" t="s">
        <v>319</v>
      </c>
      <c r="G146" s="1"/>
      <c r="H146" s="1"/>
      <c r="I146" s="1"/>
      <c r="J146" s="1" t="s">
        <v>66</v>
      </c>
      <c r="K146" s="1"/>
      <c r="L146" s="1" t="s">
        <v>77</v>
      </c>
      <c r="M146" s="1"/>
      <c r="N146" s="1"/>
      <c r="O146" s="1"/>
      <c r="P146" s="1"/>
      <c r="Q146" s="1"/>
      <c r="R146" s="1"/>
      <c r="S146" s="1"/>
      <c r="T146" s="1"/>
      <c r="U146" s="4"/>
      <c r="V146" s="1" t="s">
        <v>88</v>
      </c>
      <c r="W146" s="1"/>
      <c r="X146" s="1"/>
      <c r="Y146" s="1"/>
      <c r="Z146" s="1"/>
      <c r="AA146" s="1"/>
      <c r="AB146" s="1"/>
      <c r="AC146" s="1"/>
      <c r="AD146" s="1"/>
      <c r="AE146" s="1"/>
      <c r="AF146" s="2"/>
      <c r="AG146" s="2"/>
      <c r="AH146" s="2"/>
      <c r="AI146" s="2"/>
      <c r="AJ146" s="2"/>
      <c r="AK146" s="2"/>
      <c r="AL146" s="2"/>
      <c r="AM146" s="2"/>
      <c r="AN146" s="1"/>
      <c r="AO146" s="1"/>
      <c r="AP146" s="2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9" customHeight="1" x14ac:dyDescent="0.3">
      <c r="A147" s="5"/>
      <c r="B147" s="62" t="s">
        <v>321</v>
      </c>
      <c r="C147" s="1" t="s">
        <v>322</v>
      </c>
      <c r="D147" s="1">
        <f t="shared" si="3"/>
        <v>143</v>
      </c>
      <c r="E147" s="1" t="s">
        <v>323</v>
      </c>
      <c r="F147" s="1" t="s">
        <v>321</v>
      </c>
      <c r="G147" s="1" t="s">
        <v>90</v>
      </c>
      <c r="H147" s="1" t="s">
        <v>162</v>
      </c>
      <c r="I147" s="1" t="s">
        <v>147</v>
      </c>
      <c r="J147" s="1" t="s">
        <v>66</v>
      </c>
      <c r="K147" s="1" t="str">
        <f t="shared" ref="K147:K171" si="4">E147</f>
        <v>Change Location</v>
      </c>
      <c r="L147" s="1" t="s">
        <v>77</v>
      </c>
      <c r="M147" s="1"/>
      <c r="N147" s="1"/>
      <c r="O147" s="1"/>
      <c r="P147" s="1"/>
      <c r="Q147" s="1"/>
      <c r="R147" s="1"/>
      <c r="S147" s="1"/>
      <c r="T147" s="1"/>
      <c r="U147" s="4"/>
      <c r="V147" s="1" t="s">
        <v>257</v>
      </c>
      <c r="W147" s="1" t="s">
        <v>258</v>
      </c>
      <c r="X147" s="1" t="s">
        <v>81</v>
      </c>
      <c r="Y147" s="1" t="s">
        <v>259</v>
      </c>
      <c r="Z147" s="1" t="s">
        <v>263</v>
      </c>
      <c r="AA147" s="1"/>
      <c r="AB147" s="1"/>
      <c r="AC147" s="1"/>
      <c r="AD147" s="1"/>
      <c r="AE147" s="1"/>
      <c r="AF147" s="2"/>
      <c r="AG147" s="2"/>
      <c r="AH147" s="2"/>
      <c r="AI147" s="2"/>
      <c r="AJ147" s="2"/>
      <c r="AK147" s="2"/>
      <c r="AL147" s="2"/>
      <c r="AM147" s="2"/>
      <c r="AN147" s="1"/>
      <c r="AO147" s="1"/>
      <c r="AP147" s="2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9" customHeight="1" x14ac:dyDescent="0.3">
      <c r="A148" s="5"/>
      <c r="B148" s="62"/>
      <c r="C148" s="1" t="s">
        <v>322</v>
      </c>
      <c r="D148" s="1">
        <f t="shared" si="3"/>
        <v>144</v>
      </c>
      <c r="E148" s="1" t="s">
        <v>324</v>
      </c>
      <c r="F148" s="1" t="s">
        <v>321</v>
      </c>
      <c r="G148" s="1" t="s">
        <v>90</v>
      </c>
      <c r="H148" s="1" t="s">
        <v>162</v>
      </c>
      <c r="I148" s="1" t="s">
        <v>147</v>
      </c>
      <c r="J148" s="1" t="s">
        <v>66</v>
      </c>
      <c r="K148" s="1" t="str">
        <f t="shared" si="4"/>
        <v>Complete Use for RunCard</v>
      </c>
      <c r="L148" s="1" t="s">
        <v>77</v>
      </c>
      <c r="M148" s="1"/>
      <c r="N148" s="1"/>
      <c r="O148" s="1"/>
      <c r="P148" s="1"/>
      <c r="Q148" s="1"/>
      <c r="R148" s="1"/>
      <c r="S148" s="1"/>
      <c r="T148" s="1"/>
      <c r="U148" s="4"/>
      <c r="V148" s="1" t="s">
        <v>257</v>
      </c>
      <c r="W148" s="1" t="s">
        <v>258</v>
      </c>
      <c r="X148" s="1" t="s">
        <v>81</v>
      </c>
      <c r="Y148" s="1" t="s">
        <v>259</v>
      </c>
      <c r="Z148" s="1" t="s">
        <v>263</v>
      </c>
      <c r="AA148" s="1"/>
      <c r="AB148" s="1"/>
      <c r="AC148" s="1"/>
      <c r="AD148" s="1"/>
      <c r="AE148" s="1"/>
      <c r="AF148" s="2"/>
      <c r="AG148" s="2"/>
      <c r="AH148" s="2"/>
      <c r="AI148" s="2"/>
      <c r="AJ148" s="2"/>
      <c r="AK148" s="2"/>
      <c r="AL148" s="2"/>
      <c r="AM148" s="2"/>
      <c r="AN148" s="1"/>
      <c r="AO148" s="1"/>
      <c r="AP148" s="2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9" customHeight="1" x14ac:dyDescent="0.3">
      <c r="A149" s="5"/>
      <c r="B149" s="62"/>
      <c r="C149" s="1" t="s">
        <v>322</v>
      </c>
      <c r="D149" s="1">
        <f t="shared" si="3"/>
        <v>145</v>
      </c>
      <c r="E149" s="1" t="s">
        <v>325</v>
      </c>
      <c r="F149" s="1" t="s">
        <v>321</v>
      </c>
      <c r="G149" s="1" t="s">
        <v>90</v>
      </c>
      <c r="H149" s="1" t="s">
        <v>64</v>
      </c>
      <c r="I149" s="1" t="s">
        <v>147</v>
      </c>
      <c r="J149" s="1" t="s">
        <v>66</v>
      </c>
      <c r="K149" s="1" t="str">
        <f t="shared" si="4"/>
        <v>EE Hold Card</v>
      </c>
      <c r="L149" s="1" t="s">
        <v>77</v>
      </c>
      <c r="M149" s="1"/>
      <c r="N149" s="1"/>
      <c r="O149" s="1"/>
      <c r="P149" s="1"/>
      <c r="Q149" s="1"/>
      <c r="R149" s="1"/>
      <c r="S149" s="1"/>
      <c r="T149" s="1"/>
      <c r="U149" s="4"/>
      <c r="V149" s="1" t="s">
        <v>257</v>
      </c>
      <c r="W149" s="1" t="s">
        <v>258</v>
      </c>
      <c r="X149" s="1" t="s">
        <v>81</v>
      </c>
      <c r="Y149" s="1" t="s">
        <v>259</v>
      </c>
      <c r="Z149" s="1" t="s">
        <v>263</v>
      </c>
      <c r="AA149" s="1"/>
      <c r="AB149" s="1"/>
      <c r="AC149" s="1"/>
      <c r="AD149" s="1"/>
      <c r="AE149" s="1"/>
      <c r="AF149" s="2"/>
      <c r="AG149" s="2"/>
      <c r="AH149" s="2"/>
      <c r="AI149" s="2"/>
      <c r="AJ149" s="2"/>
      <c r="AK149" s="2"/>
      <c r="AL149" s="2"/>
      <c r="AM149" s="2"/>
      <c r="AN149" s="1"/>
      <c r="AO149" s="1"/>
      <c r="AP149" s="2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9" customHeight="1" x14ac:dyDescent="0.3">
      <c r="A150" s="5"/>
      <c r="B150" s="62"/>
      <c r="C150" s="1" t="s">
        <v>322</v>
      </c>
      <c r="D150" s="1">
        <f t="shared" si="3"/>
        <v>146</v>
      </c>
      <c r="E150" s="1" t="s">
        <v>326</v>
      </c>
      <c r="F150" s="1" t="s">
        <v>321</v>
      </c>
      <c r="G150" s="1" t="s">
        <v>90</v>
      </c>
      <c r="H150" s="1" t="s">
        <v>162</v>
      </c>
      <c r="I150" s="1" t="s">
        <v>147</v>
      </c>
      <c r="J150" s="1" t="s">
        <v>66</v>
      </c>
      <c r="K150" s="1" t="str">
        <f t="shared" si="4"/>
        <v>EE Validation</v>
      </c>
      <c r="L150" s="1" t="s">
        <v>77</v>
      </c>
      <c r="M150" s="1"/>
      <c r="N150" s="1"/>
      <c r="O150" s="1"/>
      <c r="P150" s="1"/>
      <c r="Q150" s="1"/>
      <c r="R150" s="1"/>
      <c r="S150" s="1"/>
      <c r="T150" s="1"/>
      <c r="U150" s="4"/>
      <c r="V150" s="1" t="s">
        <v>257</v>
      </c>
      <c r="W150" s="1" t="s">
        <v>258</v>
      </c>
      <c r="X150" s="1" t="s">
        <v>81</v>
      </c>
      <c r="Y150" s="1" t="s">
        <v>259</v>
      </c>
      <c r="Z150" s="1" t="s">
        <v>263</v>
      </c>
      <c r="AA150" s="1"/>
      <c r="AB150" s="1"/>
      <c r="AC150" s="1"/>
      <c r="AD150" s="1"/>
      <c r="AE150" s="1"/>
      <c r="AF150" s="2"/>
      <c r="AG150" s="2"/>
      <c r="AH150" s="2"/>
      <c r="AI150" s="2"/>
      <c r="AJ150" s="2"/>
      <c r="AK150" s="2"/>
      <c r="AL150" s="2"/>
      <c r="AM150" s="2"/>
      <c r="AN150" s="1"/>
      <c r="AO150" s="1"/>
      <c r="AP150" s="2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9" customHeight="1" x14ac:dyDescent="0.3">
      <c r="A151" s="5"/>
      <c r="B151" s="62"/>
      <c r="C151" s="1" t="s">
        <v>327</v>
      </c>
      <c r="D151" s="1">
        <f t="shared" si="3"/>
        <v>147</v>
      </c>
      <c r="E151" s="1" t="s">
        <v>328</v>
      </c>
      <c r="F151" s="1" t="s">
        <v>321</v>
      </c>
      <c r="G151" s="1" t="s">
        <v>90</v>
      </c>
      <c r="H151" s="1" t="s">
        <v>162</v>
      </c>
      <c r="I151" s="1" t="s">
        <v>147</v>
      </c>
      <c r="J151" s="1" t="s">
        <v>66</v>
      </c>
      <c r="K151" s="1" t="str">
        <f t="shared" si="4"/>
        <v>Equipment Capability With Probe Card Group</v>
      </c>
      <c r="L151" s="1" t="s">
        <v>77</v>
      </c>
      <c r="M151" s="1"/>
      <c r="N151" s="1"/>
      <c r="O151" s="1"/>
      <c r="P151" s="1"/>
      <c r="Q151" s="1"/>
      <c r="R151" s="1"/>
      <c r="S151" s="1"/>
      <c r="T151" s="1"/>
      <c r="U151" s="4"/>
      <c r="V151" s="1" t="s">
        <v>257</v>
      </c>
      <c r="W151" s="1" t="s">
        <v>258</v>
      </c>
      <c r="X151" s="1" t="s">
        <v>81</v>
      </c>
      <c r="Y151" s="1" t="s">
        <v>259</v>
      </c>
      <c r="Z151" s="1" t="s">
        <v>263</v>
      </c>
      <c r="AA151" s="1"/>
      <c r="AB151" s="1"/>
      <c r="AC151" s="1"/>
      <c r="AD151" s="1"/>
      <c r="AE151" s="1"/>
      <c r="AF151" s="2"/>
      <c r="AG151" s="2"/>
      <c r="AH151" s="2"/>
      <c r="AI151" s="2"/>
      <c r="AJ151" s="2"/>
      <c r="AK151" s="2"/>
      <c r="AL151" s="2"/>
      <c r="AM151" s="2"/>
      <c r="AN151" s="1"/>
      <c r="AO151" s="1"/>
      <c r="AP151" s="2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9" customHeight="1" x14ac:dyDescent="0.3">
      <c r="A152" s="5"/>
      <c r="B152" s="62"/>
      <c r="C152" s="1" t="s">
        <v>322</v>
      </c>
      <c r="D152" s="1">
        <f t="shared" si="3"/>
        <v>148</v>
      </c>
      <c r="E152" s="1" t="s">
        <v>329</v>
      </c>
      <c r="F152" s="1" t="s">
        <v>321</v>
      </c>
      <c r="G152" s="1" t="s">
        <v>90</v>
      </c>
      <c r="H152" s="1" t="s">
        <v>162</v>
      </c>
      <c r="I152" s="1" t="s">
        <v>147</v>
      </c>
      <c r="J152" s="1" t="s">
        <v>66</v>
      </c>
      <c r="K152" s="1" t="str">
        <f t="shared" si="4"/>
        <v>Lend Out</v>
      </c>
      <c r="L152" s="1" t="s">
        <v>77</v>
      </c>
      <c r="M152" s="1"/>
      <c r="N152" s="1"/>
      <c r="O152" s="1"/>
      <c r="P152" s="1"/>
      <c r="Q152" s="1"/>
      <c r="R152" s="1"/>
      <c r="S152" s="1"/>
      <c r="T152" s="1"/>
      <c r="U152" s="4"/>
      <c r="V152" s="1" t="s">
        <v>257</v>
      </c>
      <c r="W152" s="1" t="s">
        <v>258</v>
      </c>
      <c r="X152" s="1" t="s">
        <v>81</v>
      </c>
      <c r="Y152" s="1" t="s">
        <v>259</v>
      </c>
      <c r="Z152" s="1" t="s">
        <v>263</v>
      </c>
      <c r="AA152" s="1"/>
      <c r="AB152" s="1"/>
      <c r="AC152" s="1"/>
      <c r="AD152" s="1"/>
      <c r="AE152" s="1"/>
      <c r="AF152" s="2"/>
      <c r="AG152" s="2"/>
      <c r="AH152" s="2"/>
      <c r="AI152" s="2"/>
      <c r="AJ152" s="2"/>
      <c r="AK152" s="2"/>
      <c r="AL152" s="2"/>
      <c r="AM152" s="2"/>
      <c r="AN152" s="1"/>
      <c r="AO152" s="1"/>
      <c r="AP152" s="2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9" customHeight="1" x14ac:dyDescent="0.3">
      <c r="A153" s="5"/>
      <c r="B153" s="62"/>
      <c r="C153" s="1" t="s">
        <v>322</v>
      </c>
      <c r="D153" s="1">
        <f t="shared" si="3"/>
        <v>149</v>
      </c>
      <c r="E153" s="1" t="s">
        <v>330</v>
      </c>
      <c r="F153" s="1" t="s">
        <v>321</v>
      </c>
      <c r="G153" s="1" t="s">
        <v>90</v>
      </c>
      <c r="H153" s="1" t="s">
        <v>64</v>
      </c>
      <c r="I153" s="1" t="s">
        <v>147</v>
      </c>
      <c r="J153" s="1" t="s">
        <v>66</v>
      </c>
      <c r="K153" s="1" t="str">
        <f t="shared" si="4"/>
        <v>MFG Receive</v>
      </c>
      <c r="L153" s="1" t="s">
        <v>77</v>
      </c>
      <c r="M153" s="1"/>
      <c r="N153" s="1"/>
      <c r="O153" s="1"/>
      <c r="P153" s="1"/>
      <c r="Q153" s="1"/>
      <c r="R153" s="1"/>
      <c r="S153" s="1"/>
      <c r="T153" s="1"/>
      <c r="U153" s="4"/>
      <c r="V153" s="1" t="s">
        <v>257</v>
      </c>
      <c r="W153" s="1" t="s">
        <v>258</v>
      </c>
      <c r="X153" s="1" t="s">
        <v>81</v>
      </c>
      <c r="Y153" s="1" t="s">
        <v>259</v>
      </c>
      <c r="Z153" s="1" t="s">
        <v>263</v>
      </c>
      <c r="AA153" s="1"/>
      <c r="AB153" s="1"/>
      <c r="AC153" s="1"/>
      <c r="AD153" s="1"/>
      <c r="AE153" s="1"/>
      <c r="AF153" s="2"/>
      <c r="AG153" s="2"/>
      <c r="AH153" s="2"/>
      <c r="AI153" s="2"/>
      <c r="AJ153" s="2"/>
      <c r="AK153" s="2"/>
      <c r="AL153" s="2"/>
      <c r="AM153" s="2"/>
      <c r="AN153" s="1"/>
      <c r="AO153" s="1"/>
      <c r="AP153" s="2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9" customHeight="1" x14ac:dyDescent="0.3">
      <c r="A154" s="5"/>
      <c r="B154" s="62"/>
      <c r="C154" s="1" t="s">
        <v>331</v>
      </c>
      <c r="D154" s="1">
        <f t="shared" si="3"/>
        <v>150</v>
      </c>
      <c r="E154" s="1" t="s">
        <v>332</v>
      </c>
      <c r="F154" s="1" t="s">
        <v>321</v>
      </c>
      <c r="G154" s="1" t="s">
        <v>90</v>
      </c>
      <c r="H154" s="1" t="s">
        <v>162</v>
      </c>
      <c r="I154" s="1" t="s">
        <v>147</v>
      </c>
      <c r="J154" s="1" t="s">
        <v>66</v>
      </c>
      <c r="K154" s="1" t="str">
        <f t="shared" si="4"/>
        <v>Mounting Of Probe Card</v>
      </c>
      <c r="L154" s="1" t="s">
        <v>77</v>
      </c>
      <c r="M154" s="1"/>
      <c r="N154" s="1"/>
      <c r="O154" s="1"/>
      <c r="P154" s="1"/>
      <c r="Q154" s="1"/>
      <c r="R154" s="1"/>
      <c r="S154" s="1"/>
      <c r="T154" s="1"/>
      <c r="U154" s="4"/>
      <c r="V154" s="1" t="s">
        <v>257</v>
      </c>
      <c r="W154" s="1" t="s">
        <v>258</v>
      </c>
      <c r="X154" s="1" t="s">
        <v>81</v>
      </c>
      <c r="Y154" s="1" t="s">
        <v>259</v>
      </c>
      <c r="Z154" s="1" t="s">
        <v>263</v>
      </c>
      <c r="AA154" s="1"/>
      <c r="AB154" s="1"/>
      <c r="AC154" s="1"/>
      <c r="AD154" s="1"/>
      <c r="AE154" s="1"/>
      <c r="AF154" s="2"/>
      <c r="AG154" s="2"/>
      <c r="AH154" s="2"/>
      <c r="AI154" s="2"/>
      <c r="AJ154" s="2"/>
      <c r="AK154" s="2"/>
      <c r="AL154" s="2"/>
      <c r="AM154" s="2"/>
      <c r="AN154" s="1"/>
      <c r="AO154" s="1"/>
      <c r="AP154" s="2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9" customHeight="1" x14ac:dyDescent="0.3">
      <c r="A155" s="5"/>
      <c r="B155" s="62"/>
      <c r="C155" s="1" t="s">
        <v>327</v>
      </c>
      <c r="D155" s="1">
        <f t="shared" si="3"/>
        <v>151</v>
      </c>
      <c r="E155" s="1" t="s">
        <v>333</v>
      </c>
      <c r="F155" s="1" t="s">
        <v>321</v>
      </c>
      <c r="G155" s="1" t="s">
        <v>90</v>
      </c>
      <c r="H155" s="1" t="s">
        <v>162</v>
      </c>
      <c r="I155" s="1" t="s">
        <v>147</v>
      </c>
      <c r="J155" s="1" t="s">
        <v>66</v>
      </c>
      <c r="K155" s="1" t="str">
        <f t="shared" si="4"/>
        <v>Probe Card Group Maintenance</v>
      </c>
      <c r="L155" s="1" t="s">
        <v>77</v>
      </c>
      <c r="M155" s="1"/>
      <c r="N155" s="1"/>
      <c r="O155" s="1"/>
      <c r="P155" s="1"/>
      <c r="Q155" s="1"/>
      <c r="R155" s="1"/>
      <c r="S155" s="1"/>
      <c r="T155" s="1"/>
      <c r="U155" s="4"/>
      <c r="V155" s="1" t="s">
        <v>257</v>
      </c>
      <c r="W155" s="1" t="s">
        <v>258</v>
      </c>
      <c r="X155" s="1" t="s">
        <v>81</v>
      </c>
      <c r="Y155" s="1" t="s">
        <v>259</v>
      </c>
      <c r="Z155" s="1" t="s">
        <v>263</v>
      </c>
      <c r="AA155" s="1"/>
      <c r="AB155" s="1"/>
      <c r="AC155" s="1"/>
      <c r="AD155" s="1"/>
      <c r="AE155" s="1"/>
      <c r="AF155" s="2"/>
      <c r="AG155" s="2"/>
      <c r="AH155" s="2"/>
      <c r="AI155" s="2"/>
      <c r="AJ155" s="2"/>
      <c r="AK155" s="2"/>
      <c r="AL155" s="2"/>
      <c r="AM155" s="2"/>
      <c r="AN155" s="1"/>
      <c r="AO155" s="1"/>
      <c r="AP155" s="2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9" customHeight="1" x14ac:dyDescent="0.3">
      <c r="A156" s="5"/>
      <c r="B156" s="62"/>
      <c r="C156" s="1" t="s">
        <v>327</v>
      </c>
      <c r="D156" s="1">
        <f t="shared" si="3"/>
        <v>152</v>
      </c>
      <c r="E156" s="1" t="s">
        <v>334</v>
      </c>
      <c r="F156" s="1" t="s">
        <v>321</v>
      </c>
      <c r="G156" s="1" t="s">
        <v>90</v>
      </c>
      <c r="H156" s="1" t="s">
        <v>162</v>
      </c>
      <c r="I156" s="1" t="s">
        <v>147</v>
      </c>
      <c r="J156" s="1" t="s">
        <v>66</v>
      </c>
      <c r="K156" s="1" t="str">
        <f t="shared" si="4"/>
        <v>Probe Card Maintenance</v>
      </c>
      <c r="L156" s="1" t="s">
        <v>77</v>
      </c>
      <c r="M156" s="1"/>
      <c r="N156" s="1"/>
      <c r="O156" s="1"/>
      <c r="P156" s="1"/>
      <c r="Q156" s="1"/>
      <c r="R156" s="1"/>
      <c r="S156" s="1"/>
      <c r="T156" s="1"/>
      <c r="U156" s="4"/>
      <c r="V156" s="1" t="s">
        <v>257</v>
      </c>
      <c r="W156" s="1" t="s">
        <v>258</v>
      </c>
      <c r="X156" s="1" t="s">
        <v>81</v>
      </c>
      <c r="Y156" s="1" t="s">
        <v>259</v>
      </c>
      <c r="Z156" s="1" t="s">
        <v>263</v>
      </c>
      <c r="AA156" s="1"/>
      <c r="AB156" s="1"/>
      <c r="AC156" s="1"/>
      <c r="AD156" s="1"/>
      <c r="AE156" s="1"/>
      <c r="AF156" s="2"/>
      <c r="AG156" s="2"/>
      <c r="AH156" s="2"/>
      <c r="AI156" s="2"/>
      <c r="AJ156" s="2"/>
      <c r="AK156" s="2"/>
      <c r="AL156" s="2"/>
      <c r="AM156" s="2"/>
      <c r="AN156" s="1"/>
      <c r="AO156" s="1"/>
      <c r="AP156" s="2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9" customHeight="1" x14ac:dyDescent="0.3">
      <c r="A157" s="5"/>
      <c r="B157" s="62"/>
      <c r="C157" s="1" t="s">
        <v>322</v>
      </c>
      <c r="D157" s="1">
        <f t="shared" si="3"/>
        <v>153</v>
      </c>
      <c r="E157" s="1" t="s">
        <v>335</v>
      </c>
      <c r="F157" s="1" t="s">
        <v>321</v>
      </c>
      <c r="G157" s="1" t="s">
        <v>90</v>
      </c>
      <c r="H157" s="1" t="s">
        <v>162</v>
      </c>
      <c r="I157" s="1" t="s">
        <v>147</v>
      </c>
      <c r="J157" s="1" t="s">
        <v>66</v>
      </c>
      <c r="K157" s="1" t="str">
        <f t="shared" si="4"/>
        <v>PE Hold Card</v>
      </c>
      <c r="L157" s="1" t="s">
        <v>77</v>
      </c>
      <c r="M157" s="1"/>
      <c r="N157" s="1"/>
      <c r="O157" s="1"/>
      <c r="P157" s="1"/>
      <c r="Q157" s="1"/>
      <c r="R157" s="1"/>
      <c r="S157" s="1"/>
      <c r="T157" s="1"/>
      <c r="U157" s="4"/>
      <c r="V157" s="1" t="s">
        <v>257</v>
      </c>
      <c r="W157" s="1" t="s">
        <v>258</v>
      </c>
      <c r="X157" s="1" t="s">
        <v>81</v>
      </c>
      <c r="Y157" s="1" t="s">
        <v>259</v>
      </c>
      <c r="Z157" s="1" t="s">
        <v>263</v>
      </c>
      <c r="AA157" s="1"/>
      <c r="AB157" s="1"/>
      <c r="AC157" s="1"/>
      <c r="AD157" s="1"/>
      <c r="AE157" s="1"/>
      <c r="AF157" s="2"/>
      <c r="AG157" s="2"/>
      <c r="AH157" s="2"/>
      <c r="AI157" s="2"/>
      <c r="AJ157" s="2"/>
      <c r="AK157" s="2"/>
      <c r="AL157" s="2"/>
      <c r="AM157" s="2"/>
      <c r="AN157" s="1"/>
      <c r="AO157" s="1"/>
      <c r="AP157" s="2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9" customHeight="1" x14ac:dyDescent="0.3">
      <c r="A158" s="5"/>
      <c r="B158" s="62"/>
      <c r="C158" s="1" t="s">
        <v>322</v>
      </c>
      <c r="D158" s="1">
        <f t="shared" si="3"/>
        <v>154</v>
      </c>
      <c r="E158" s="1" t="s">
        <v>336</v>
      </c>
      <c r="F158" s="1" t="s">
        <v>321</v>
      </c>
      <c r="G158" s="1" t="s">
        <v>90</v>
      </c>
      <c r="H158" s="1" t="s">
        <v>162</v>
      </c>
      <c r="I158" s="1" t="s">
        <v>147</v>
      </c>
      <c r="J158" s="1" t="s">
        <v>66</v>
      </c>
      <c r="K158" s="1" t="str">
        <f t="shared" si="4"/>
        <v>PE Validation</v>
      </c>
      <c r="L158" s="1" t="s">
        <v>77</v>
      </c>
      <c r="M158" s="1"/>
      <c r="N158" s="1"/>
      <c r="O158" s="1"/>
      <c r="P158" s="1"/>
      <c r="Q158" s="1"/>
      <c r="R158" s="1"/>
      <c r="S158" s="1"/>
      <c r="T158" s="1"/>
      <c r="U158" s="4"/>
      <c r="V158" s="1" t="s">
        <v>257</v>
      </c>
      <c r="W158" s="1" t="s">
        <v>258</v>
      </c>
      <c r="X158" s="1" t="s">
        <v>81</v>
      </c>
      <c r="Y158" s="1" t="s">
        <v>259</v>
      </c>
      <c r="Z158" s="1" t="s">
        <v>263</v>
      </c>
      <c r="AA158" s="1"/>
      <c r="AB158" s="1"/>
      <c r="AC158" s="1"/>
      <c r="AD158" s="1"/>
      <c r="AE158" s="1"/>
      <c r="AF158" s="2"/>
      <c r="AG158" s="2"/>
      <c r="AH158" s="2"/>
      <c r="AI158" s="2"/>
      <c r="AJ158" s="2"/>
      <c r="AK158" s="2"/>
      <c r="AL158" s="2"/>
      <c r="AM158" s="2"/>
      <c r="AN158" s="1"/>
      <c r="AO158" s="1"/>
      <c r="AP158" s="2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9" customHeight="1" x14ac:dyDescent="0.3">
      <c r="A159" s="5"/>
      <c r="B159" s="62"/>
      <c r="C159" s="1" t="s">
        <v>322</v>
      </c>
      <c r="D159" s="1">
        <f t="shared" si="3"/>
        <v>155</v>
      </c>
      <c r="E159" s="1" t="s">
        <v>337</v>
      </c>
      <c r="F159" s="1" t="s">
        <v>321</v>
      </c>
      <c r="G159" s="1" t="s">
        <v>90</v>
      </c>
      <c r="H159" s="1" t="s">
        <v>64</v>
      </c>
      <c r="I159" s="1" t="s">
        <v>147</v>
      </c>
      <c r="J159" s="1" t="s">
        <v>66</v>
      </c>
      <c r="K159" s="1" t="str">
        <f t="shared" si="4"/>
        <v>Probe Card History</v>
      </c>
      <c r="L159" s="1" t="s">
        <v>77</v>
      </c>
      <c r="M159" s="1"/>
      <c r="N159" s="1"/>
      <c r="O159" s="1"/>
      <c r="P159" s="1"/>
      <c r="Q159" s="1"/>
      <c r="R159" s="1"/>
      <c r="S159" s="1"/>
      <c r="T159" s="1"/>
      <c r="U159" s="4"/>
      <c r="V159" s="1" t="s">
        <v>257</v>
      </c>
      <c r="W159" s="1" t="s">
        <v>258</v>
      </c>
      <c r="X159" s="1" t="s">
        <v>81</v>
      </c>
      <c r="Y159" s="1" t="s">
        <v>259</v>
      </c>
      <c r="Z159" s="1" t="s">
        <v>263</v>
      </c>
      <c r="AA159" s="1"/>
      <c r="AB159" s="1"/>
      <c r="AC159" s="1"/>
      <c r="AD159" s="1"/>
      <c r="AE159" s="1"/>
      <c r="AF159" s="2"/>
      <c r="AG159" s="2"/>
      <c r="AH159" s="2"/>
      <c r="AI159" s="2"/>
      <c r="AJ159" s="2"/>
      <c r="AK159" s="2"/>
      <c r="AL159" s="2"/>
      <c r="AM159" s="2"/>
      <c r="AN159" s="1"/>
      <c r="AO159" s="1"/>
      <c r="AP159" s="2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9" customHeight="1" x14ac:dyDescent="0.3">
      <c r="A160" s="5"/>
      <c r="B160" s="62"/>
      <c r="C160" s="1" t="s">
        <v>322</v>
      </c>
      <c r="D160" s="1">
        <f t="shared" si="3"/>
        <v>156</v>
      </c>
      <c r="E160" s="1" t="s">
        <v>338</v>
      </c>
      <c r="F160" s="1" t="s">
        <v>321</v>
      </c>
      <c r="G160" s="1" t="s">
        <v>90</v>
      </c>
      <c r="H160" s="1" t="s">
        <v>64</v>
      </c>
      <c r="I160" s="1" t="s">
        <v>147</v>
      </c>
      <c r="J160" s="1" t="s">
        <v>66</v>
      </c>
      <c r="K160" s="1" t="str">
        <f t="shared" si="4"/>
        <v>Release To MFG</v>
      </c>
      <c r="L160" s="1" t="s">
        <v>77</v>
      </c>
      <c r="M160" s="1"/>
      <c r="N160" s="1"/>
      <c r="O160" s="1"/>
      <c r="P160" s="1"/>
      <c r="Q160" s="1"/>
      <c r="R160" s="1"/>
      <c r="S160" s="1"/>
      <c r="T160" s="1"/>
      <c r="U160" s="4"/>
      <c r="V160" s="1" t="s">
        <v>257</v>
      </c>
      <c r="W160" s="1" t="s">
        <v>258</v>
      </c>
      <c r="X160" s="1" t="s">
        <v>81</v>
      </c>
      <c r="Y160" s="1" t="s">
        <v>259</v>
      </c>
      <c r="Z160" s="1" t="s">
        <v>263</v>
      </c>
      <c r="AA160" s="1"/>
      <c r="AB160" s="1"/>
      <c r="AC160" s="1"/>
      <c r="AD160" s="1"/>
      <c r="AE160" s="1"/>
      <c r="AF160" s="2"/>
      <c r="AG160" s="2"/>
      <c r="AH160" s="2"/>
      <c r="AI160" s="2"/>
      <c r="AJ160" s="2"/>
      <c r="AK160" s="2"/>
      <c r="AL160" s="2"/>
      <c r="AM160" s="2"/>
      <c r="AN160" s="1"/>
      <c r="AO160" s="1"/>
      <c r="AP160" s="2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9" customHeight="1" x14ac:dyDescent="0.3">
      <c r="A161" s="5"/>
      <c r="B161" s="62"/>
      <c r="C161" s="1" t="s">
        <v>327</v>
      </c>
      <c r="D161" s="1">
        <f t="shared" si="3"/>
        <v>157</v>
      </c>
      <c r="E161" s="1" t="s">
        <v>339</v>
      </c>
      <c r="F161" s="1" t="s">
        <v>321</v>
      </c>
      <c r="G161" s="1" t="s">
        <v>90</v>
      </c>
      <c r="H161" s="1" t="s">
        <v>162</v>
      </c>
      <c r="I161" s="1" t="s">
        <v>147</v>
      </c>
      <c r="J161" s="1" t="s">
        <v>66</v>
      </c>
      <c r="K161" s="1" t="str">
        <f t="shared" si="4"/>
        <v>RCP Probe Card Group Mapping</v>
      </c>
      <c r="L161" s="1" t="s">
        <v>77</v>
      </c>
      <c r="M161" s="1"/>
      <c r="N161" s="1"/>
      <c r="O161" s="1"/>
      <c r="P161" s="1"/>
      <c r="Q161" s="1"/>
      <c r="R161" s="1"/>
      <c r="S161" s="1"/>
      <c r="T161" s="1"/>
      <c r="U161" s="4"/>
      <c r="V161" s="1" t="s">
        <v>257</v>
      </c>
      <c r="W161" s="1" t="s">
        <v>258</v>
      </c>
      <c r="X161" s="1" t="s">
        <v>81</v>
      </c>
      <c r="Y161" s="1" t="s">
        <v>259</v>
      </c>
      <c r="Z161" s="1" t="s">
        <v>263</v>
      </c>
      <c r="AA161" s="1"/>
      <c r="AB161" s="1"/>
      <c r="AC161" s="1"/>
      <c r="AD161" s="1"/>
      <c r="AE161" s="1"/>
      <c r="AF161" s="2"/>
      <c r="AG161" s="2"/>
      <c r="AH161" s="2"/>
      <c r="AI161" s="2"/>
      <c r="AJ161" s="2"/>
      <c r="AK161" s="2"/>
      <c r="AL161" s="2"/>
      <c r="AM161" s="2"/>
      <c r="AN161" s="1"/>
      <c r="AO161" s="1"/>
      <c r="AP161" s="2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9" customHeight="1" x14ac:dyDescent="0.3">
      <c r="A162" s="5"/>
      <c r="B162" s="62"/>
      <c r="C162" s="1" t="s">
        <v>322</v>
      </c>
      <c r="D162" s="1">
        <f t="shared" si="3"/>
        <v>158</v>
      </c>
      <c r="E162" s="1" t="s">
        <v>340</v>
      </c>
      <c r="F162" s="1" t="s">
        <v>321</v>
      </c>
      <c r="G162" s="1" t="s">
        <v>90</v>
      </c>
      <c r="H162" s="1" t="s">
        <v>64</v>
      </c>
      <c r="I162" s="1" t="s">
        <v>147</v>
      </c>
      <c r="J162" s="1" t="s">
        <v>66</v>
      </c>
      <c r="K162" s="1" t="str">
        <f t="shared" si="4"/>
        <v>Release for RunCard</v>
      </c>
      <c r="L162" s="1" t="s">
        <v>77</v>
      </c>
      <c r="M162" s="1"/>
      <c r="N162" s="1"/>
      <c r="O162" s="1"/>
      <c r="P162" s="1"/>
      <c r="Q162" s="1"/>
      <c r="R162" s="1"/>
      <c r="S162" s="1"/>
      <c r="T162" s="1"/>
      <c r="U162" s="4"/>
      <c r="V162" s="1" t="s">
        <v>257</v>
      </c>
      <c r="W162" s="1" t="s">
        <v>258</v>
      </c>
      <c r="X162" s="1" t="s">
        <v>81</v>
      </c>
      <c r="Y162" s="1" t="s">
        <v>259</v>
      </c>
      <c r="Z162" s="1" t="s">
        <v>263</v>
      </c>
      <c r="AA162" s="1"/>
      <c r="AB162" s="1"/>
      <c r="AC162" s="1"/>
      <c r="AD162" s="1"/>
      <c r="AE162" s="1"/>
      <c r="AF162" s="2"/>
      <c r="AG162" s="2"/>
      <c r="AH162" s="2"/>
      <c r="AI162" s="2"/>
      <c r="AJ162" s="2"/>
      <c r="AK162" s="2"/>
      <c r="AL162" s="2"/>
      <c r="AM162" s="2"/>
      <c r="AN162" s="1"/>
      <c r="AO162" s="1"/>
      <c r="AP162" s="2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9" customHeight="1" x14ac:dyDescent="0.3">
      <c r="A163" s="5"/>
      <c r="B163" s="62"/>
      <c r="C163" s="1" t="s">
        <v>322</v>
      </c>
      <c r="D163" s="1">
        <f t="shared" si="3"/>
        <v>159</v>
      </c>
      <c r="E163" s="1" t="s">
        <v>341</v>
      </c>
      <c r="F163" s="1" t="s">
        <v>321</v>
      </c>
      <c r="G163" s="1" t="s">
        <v>90</v>
      </c>
      <c r="H163" s="1" t="s">
        <v>162</v>
      </c>
      <c r="I163" s="1" t="s">
        <v>147</v>
      </c>
      <c r="J163" s="1" t="s">
        <v>66</v>
      </c>
      <c r="K163" s="1" t="str">
        <f t="shared" si="4"/>
        <v>Remove From Inventory</v>
      </c>
      <c r="L163" s="1" t="s">
        <v>77</v>
      </c>
      <c r="M163" s="1"/>
      <c r="N163" s="1"/>
      <c r="O163" s="1"/>
      <c r="P163" s="1"/>
      <c r="Q163" s="1"/>
      <c r="R163" s="1"/>
      <c r="S163" s="1"/>
      <c r="T163" s="1"/>
      <c r="U163" s="4"/>
      <c r="V163" s="1" t="s">
        <v>257</v>
      </c>
      <c r="W163" s="1" t="s">
        <v>258</v>
      </c>
      <c r="X163" s="1" t="s">
        <v>81</v>
      </c>
      <c r="Y163" s="1" t="s">
        <v>259</v>
      </c>
      <c r="Z163" s="1" t="s">
        <v>263</v>
      </c>
      <c r="AA163" s="1"/>
      <c r="AB163" s="1"/>
      <c r="AC163" s="1"/>
      <c r="AD163" s="1"/>
      <c r="AE163" s="1"/>
      <c r="AF163" s="2"/>
      <c r="AG163" s="2"/>
      <c r="AH163" s="2"/>
      <c r="AI163" s="2"/>
      <c r="AJ163" s="2"/>
      <c r="AK163" s="2"/>
      <c r="AL163" s="2"/>
      <c r="AM163" s="2"/>
      <c r="AN163" s="1"/>
      <c r="AO163" s="1"/>
      <c r="AP163" s="2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9" customHeight="1" x14ac:dyDescent="0.3">
      <c r="A164" s="5"/>
      <c r="B164" s="62"/>
      <c r="C164" s="1" t="s">
        <v>322</v>
      </c>
      <c r="D164" s="1">
        <f t="shared" si="3"/>
        <v>160</v>
      </c>
      <c r="E164" s="1" t="s">
        <v>342</v>
      </c>
      <c r="F164" s="1" t="s">
        <v>321</v>
      </c>
      <c r="G164" s="1" t="s">
        <v>90</v>
      </c>
      <c r="H164" s="1" t="s">
        <v>162</v>
      </c>
      <c r="I164" s="1" t="s">
        <v>147</v>
      </c>
      <c r="J164" s="1" t="s">
        <v>66</v>
      </c>
      <c r="K164" s="1" t="str">
        <f t="shared" si="4"/>
        <v>Return From Repair</v>
      </c>
      <c r="L164" s="1" t="s">
        <v>77</v>
      </c>
      <c r="M164" s="1"/>
      <c r="N164" s="1"/>
      <c r="O164" s="1"/>
      <c r="P164" s="1"/>
      <c r="Q164" s="1"/>
      <c r="R164" s="1"/>
      <c r="S164" s="1"/>
      <c r="T164" s="1"/>
      <c r="U164" s="4"/>
      <c r="V164" s="1" t="s">
        <v>257</v>
      </c>
      <c r="W164" s="1" t="s">
        <v>258</v>
      </c>
      <c r="X164" s="1" t="s">
        <v>81</v>
      </c>
      <c r="Y164" s="1" t="s">
        <v>259</v>
      </c>
      <c r="Z164" s="1" t="s">
        <v>263</v>
      </c>
      <c r="AA164" s="1"/>
      <c r="AB164" s="1"/>
      <c r="AC164" s="1"/>
      <c r="AD164" s="1"/>
      <c r="AE164" s="1"/>
      <c r="AF164" s="2"/>
      <c r="AG164" s="2"/>
      <c r="AH164" s="2"/>
      <c r="AI164" s="2"/>
      <c r="AJ164" s="2"/>
      <c r="AK164" s="2"/>
      <c r="AL164" s="2"/>
      <c r="AM164" s="2"/>
      <c r="AN164" s="1"/>
      <c r="AO164" s="1"/>
      <c r="AP164" s="2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9" customHeight="1" x14ac:dyDescent="0.3">
      <c r="A165" s="5"/>
      <c r="B165" s="62"/>
      <c r="C165" s="1" t="s">
        <v>322</v>
      </c>
      <c r="D165" s="1">
        <f t="shared" si="3"/>
        <v>161</v>
      </c>
      <c r="E165" s="1" t="s">
        <v>343</v>
      </c>
      <c r="F165" s="1" t="s">
        <v>321</v>
      </c>
      <c r="G165" s="1" t="s">
        <v>90</v>
      </c>
      <c r="H165" s="1" t="s">
        <v>162</v>
      </c>
      <c r="I165" s="1" t="s">
        <v>147</v>
      </c>
      <c r="J165" s="1" t="s">
        <v>66</v>
      </c>
      <c r="K165" s="1" t="str">
        <f t="shared" si="4"/>
        <v>Return To Inventory</v>
      </c>
      <c r="L165" s="1" t="s">
        <v>77</v>
      </c>
      <c r="M165" s="1"/>
      <c r="N165" s="1"/>
      <c r="O165" s="1"/>
      <c r="P165" s="1"/>
      <c r="Q165" s="1"/>
      <c r="R165" s="1"/>
      <c r="S165" s="1"/>
      <c r="T165" s="1"/>
      <c r="U165" s="4"/>
      <c r="V165" s="1" t="s">
        <v>257</v>
      </c>
      <c r="W165" s="1" t="s">
        <v>258</v>
      </c>
      <c r="X165" s="1" t="s">
        <v>81</v>
      </c>
      <c r="Y165" s="1" t="s">
        <v>259</v>
      </c>
      <c r="Z165" s="1" t="s">
        <v>263</v>
      </c>
      <c r="AA165" s="1"/>
      <c r="AB165" s="1"/>
      <c r="AC165" s="1"/>
      <c r="AD165" s="1"/>
      <c r="AE165" s="1"/>
      <c r="AF165" s="2"/>
      <c r="AG165" s="2"/>
      <c r="AH165" s="2"/>
      <c r="AI165" s="2"/>
      <c r="AJ165" s="2"/>
      <c r="AK165" s="2"/>
      <c r="AL165" s="2"/>
      <c r="AM165" s="2"/>
      <c r="AN165" s="1"/>
      <c r="AO165" s="1"/>
      <c r="AP165" s="2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9" customHeight="1" x14ac:dyDescent="0.3">
      <c r="A166" s="5"/>
      <c r="B166" s="62"/>
      <c r="C166" s="1" t="s">
        <v>322</v>
      </c>
      <c r="D166" s="1">
        <f t="shared" si="3"/>
        <v>162</v>
      </c>
      <c r="E166" s="1" t="s">
        <v>344</v>
      </c>
      <c r="F166" s="1" t="s">
        <v>321</v>
      </c>
      <c r="G166" s="1" t="s">
        <v>90</v>
      </c>
      <c r="H166" s="1" t="s">
        <v>162</v>
      </c>
      <c r="I166" s="1" t="s">
        <v>147</v>
      </c>
      <c r="J166" s="1" t="s">
        <v>66</v>
      </c>
      <c r="K166" s="1" t="str">
        <f t="shared" si="4"/>
        <v>Return To PE</v>
      </c>
      <c r="L166" s="1" t="s">
        <v>77</v>
      </c>
      <c r="M166" s="1"/>
      <c r="N166" s="1"/>
      <c r="O166" s="1"/>
      <c r="P166" s="1"/>
      <c r="Q166" s="1"/>
      <c r="R166" s="1"/>
      <c r="S166" s="1"/>
      <c r="T166" s="1"/>
      <c r="U166" s="4"/>
      <c r="V166" s="1" t="s">
        <v>257</v>
      </c>
      <c r="W166" s="1" t="s">
        <v>258</v>
      </c>
      <c r="X166" s="1" t="s">
        <v>81</v>
      </c>
      <c r="Y166" s="1" t="s">
        <v>259</v>
      </c>
      <c r="Z166" s="1" t="s">
        <v>263</v>
      </c>
      <c r="AA166" s="1"/>
      <c r="AB166" s="1"/>
      <c r="AC166" s="1"/>
      <c r="AD166" s="1"/>
      <c r="AE166" s="1"/>
      <c r="AF166" s="2"/>
      <c r="AG166" s="2"/>
      <c r="AH166" s="2"/>
      <c r="AI166" s="2"/>
      <c r="AJ166" s="2"/>
      <c r="AK166" s="2"/>
      <c r="AL166" s="2"/>
      <c r="AM166" s="2"/>
      <c r="AN166" s="1"/>
      <c r="AO166" s="1"/>
      <c r="AP166" s="2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9" customHeight="1" x14ac:dyDescent="0.3">
      <c r="A167" s="5"/>
      <c r="B167" s="62"/>
      <c r="C167" s="1" t="s">
        <v>322</v>
      </c>
      <c r="D167" s="1">
        <f t="shared" si="3"/>
        <v>163</v>
      </c>
      <c r="E167" s="1" t="s">
        <v>345</v>
      </c>
      <c r="F167" s="1" t="s">
        <v>321</v>
      </c>
      <c r="G167" s="1" t="s">
        <v>90</v>
      </c>
      <c r="H167" s="1" t="s">
        <v>162</v>
      </c>
      <c r="I167" s="1" t="s">
        <v>147</v>
      </c>
      <c r="J167" s="1" t="s">
        <v>66</v>
      </c>
      <c r="K167" s="1" t="str">
        <f t="shared" si="4"/>
        <v>Scrap</v>
      </c>
      <c r="L167" s="1" t="s">
        <v>77</v>
      </c>
      <c r="M167" s="1"/>
      <c r="N167" s="1"/>
      <c r="O167" s="1"/>
      <c r="P167" s="1"/>
      <c r="Q167" s="1"/>
      <c r="R167" s="1"/>
      <c r="S167" s="1"/>
      <c r="T167" s="1"/>
      <c r="U167" s="4"/>
      <c r="V167" s="1" t="s">
        <v>257</v>
      </c>
      <c r="W167" s="1" t="s">
        <v>258</v>
      </c>
      <c r="X167" s="1" t="s">
        <v>81</v>
      </c>
      <c r="Y167" s="1" t="s">
        <v>259</v>
      </c>
      <c r="Z167" s="1" t="s">
        <v>263</v>
      </c>
      <c r="AA167" s="1"/>
      <c r="AB167" s="1"/>
      <c r="AC167" s="1"/>
      <c r="AD167" s="1"/>
      <c r="AE167" s="1"/>
      <c r="AF167" s="2"/>
      <c r="AG167" s="2"/>
      <c r="AH167" s="2"/>
      <c r="AI167" s="2"/>
      <c r="AJ167" s="2"/>
      <c r="AK167" s="2"/>
      <c r="AL167" s="2"/>
      <c r="AM167" s="2"/>
      <c r="AN167" s="1"/>
      <c r="AO167" s="1"/>
      <c r="AP167" s="2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9" customHeight="1" x14ac:dyDescent="0.3">
      <c r="A168" s="5"/>
      <c r="B168" s="62"/>
      <c r="C168" s="1" t="s">
        <v>327</v>
      </c>
      <c r="D168" s="1">
        <f t="shared" si="3"/>
        <v>164</v>
      </c>
      <c r="E168" s="1" t="s">
        <v>346</v>
      </c>
      <c r="F168" s="1" t="s">
        <v>321</v>
      </c>
      <c r="G168" s="1" t="s">
        <v>90</v>
      </c>
      <c r="H168" s="1" t="s">
        <v>162</v>
      </c>
      <c r="I168" s="1" t="s">
        <v>147</v>
      </c>
      <c r="J168" s="1" t="s">
        <v>66</v>
      </c>
      <c r="K168" s="1" t="str">
        <f t="shared" si="4"/>
        <v>Location Maintenance</v>
      </c>
      <c r="L168" s="1" t="s">
        <v>77</v>
      </c>
      <c r="M168" s="1"/>
      <c r="N168" s="1"/>
      <c r="O168" s="1"/>
      <c r="P168" s="1"/>
      <c r="Q168" s="1"/>
      <c r="R168" s="1"/>
      <c r="S168" s="1"/>
      <c r="T168" s="1"/>
      <c r="U168" s="4"/>
      <c r="V168" s="1" t="s">
        <v>257</v>
      </c>
      <c r="W168" s="1" t="s">
        <v>258</v>
      </c>
      <c r="X168" s="1" t="s">
        <v>81</v>
      </c>
      <c r="Y168" s="1" t="s">
        <v>259</v>
      </c>
      <c r="Z168" s="1" t="s">
        <v>263</v>
      </c>
      <c r="AA168" s="1"/>
      <c r="AB168" s="1"/>
      <c r="AC168" s="1"/>
      <c r="AD168" s="1"/>
      <c r="AE168" s="1"/>
      <c r="AF168" s="2"/>
      <c r="AG168" s="2"/>
      <c r="AH168" s="2"/>
      <c r="AI168" s="2"/>
      <c r="AJ168" s="2"/>
      <c r="AK168" s="2"/>
      <c r="AL168" s="2"/>
      <c r="AM168" s="2"/>
      <c r="AN168" s="1"/>
      <c r="AO168" s="1"/>
      <c r="AP168" s="2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9" customHeight="1" x14ac:dyDescent="0.3">
      <c r="A169" s="5"/>
      <c r="B169" s="62"/>
      <c r="C169" s="1" t="s">
        <v>331</v>
      </c>
      <c r="D169" s="1">
        <f t="shared" si="3"/>
        <v>165</v>
      </c>
      <c r="E169" s="1" t="s">
        <v>347</v>
      </c>
      <c r="F169" s="1" t="s">
        <v>321</v>
      </c>
      <c r="G169" s="1" t="s">
        <v>90</v>
      </c>
      <c r="H169" s="1" t="s">
        <v>162</v>
      </c>
      <c r="I169" s="1" t="s">
        <v>147</v>
      </c>
      <c r="J169" s="1" t="s">
        <v>66</v>
      </c>
      <c r="K169" s="1" t="str">
        <f t="shared" si="4"/>
        <v>UnMounting Of Probe Card</v>
      </c>
      <c r="L169" s="1" t="s">
        <v>77</v>
      </c>
      <c r="M169" s="1"/>
      <c r="N169" s="1"/>
      <c r="O169" s="1"/>
      <c r="P169" s="1"/>
      <c r="Q169" s="1"/>
      <c r="R169" s="1"/>
      <c r="S169" s="1"/>
      <c r="T169" s="1"/>
      <c r="U169" s="4"/>
      <c r="V169" s="1" t="s">
        <v>257</v>
      </c>
      <c r="W169" s="1" t="s">
        <v>258</v>
      </c>
      <c r="X169" s="1" t="s">
        <v>81</v>
      </c>
      <c r="Y169" s="1" t="s">
        <v>259</v>
      </c>
      <c r="Z169" s="1" t="s">
        <v>263</v>
      </c>
      <c r="AA169" s="1"/>
      <c r="AB169" s="1"/>
      <c r="AC169" s="1"/>
      <c r="AD169" s="1"/>
      <c r="AE169" s="1"/>
      <c r="AF169" s="2"/>
      <c r="AG169" s="2"/>
      <c r="AH169" s="2"/>
      <c r="AI169" s="2"/>
      <c r="AJ169" s="2"/>
      <c r="AK169" s="2"/>
      <c r="AL169" s="2"/>
      <c r="AM169" s="2"/>
      <c r="AN169" s="1"/>
      <c r="AO169" s="1"/>
      <c r="AP169" s="2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9" customHeight="1" x14ac:dyDescent="0.3">
      <c r="A170" s="5"/>
      <c r="B170" s="62"/>
      <c r="C170" s="1" t="s">
        <v>322</v>
      </c>
      <c r="D170" s="1">
        <f t="shared" si="3"/>
        <v>166</v>
      </c>
      <c r="E170" s="1" t="s">
        <v>348</v>
      </c>
      <c r="F170" s="1" t="s">
        <v>321</v>
      </c>
      <c r="G170" s="1" t="s">
        <v>90</v>
      </c>
      <c r="H170" s="1" t="s">
        <v>162</v>
      </c>
      <c r="I170" s="1" t="s">
        <v>147</v>
      </c>
      <c r="J170" s="1" t="s">
        <v>66</v>
      </c>
      <c r="K170" s="1" t="str">
        <f t="shared" si="4"/>
        <v>UnScrap</v>
      </c>
      <c r="L170" s="1" t="s">
        <v>77</v>
      </c>
      <c r="M170" s="1"/>
      <c r="N170" s="1"/>
      <c r="O170" s="1"/>
      <c r="P170" s="1"/>
      <c r="Q170" s="1"/>
      <c r="R170" s="1"/>
      <c r="S170" s="1"/>
      <c r="T170" s="1"/>
      <c r="U170" s="4"/>
      <c r="V170" s="1" t="s">
        <v>257</v>
      </c>
      <c r="W170" s="1" t="s">
        <v>258</v>
      </c>
      <c r="X170" s="1" t="s">
        <v>81</v>
      </c>
      <c r="Y170" s="1" t="s">
        <v>259</v>
      </c>
      <c r="Z170" s="1" t="s">
        <v>263</v>
      </c>
      <c r="AA170" s="1"/>
      <c r="AB170" s="1"/>
      <c r="AC170" s="1"/>
      <c r="AD170" s="1"/>
      <c r="AE170" s="1"/>
      <c r="AF170" s="2"/>
      <c r="AG170" s="2"/>
      <c r="AH170" s="2"/>
      <c r="AI170" s="2"/>
      <c r="AJ170" s="2"/>
      <c r="AK170" s="2"/>
      <c r="AL170" s="2"/>
      <c r="AM170" s="2"/>
      <c r="AN170" s="1"/>
      <c r="AO170" s="1"/>
      <c r="AP170" s="2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9" customHeight="1" x14ac:dyDescent="0.3">
      <c r="A171" s="5"/>
      <c r="B171" s="62"/>
      <c r="C171" s="1" t="s">
        <v>322</v>
      </c>
      <c r="D171" s="1">
        <f t="shared" si="3"/>
        <v>167</v>
      </c>
      <c r="E171" s="1" t="s">
        <v>349</v>
      </c>
      <c r="F171" s="1" t="s">
        <v>321</v>
      </c>
      <c r="G171" s="1" t="s">
        <v>90</v>
      </c>
      <c r="H171" s="1" t="s">
        <v>162</v>
      </c>
      <c r="I171" s="1" t="s">
        <v>147</v>
      </c>
      <c r="J171" s="1" t="s">
        <v>66</v>
      </c>
      <c r="K171" s="1" t="str">
        <f t="shared" si="4"/>
        <v>Send To Vendor Repair</v>
      </c>
      <c r="L171" s="1" t="s">
        <v>77</v>
      </c>
      <c r="M171" s="1"/>
      <c r="N171" s="1"/>
      <c r="O171" s="1"/>
      <c r="P171" s="1"/>
      <c r="Q171" s="1"/>
      <c r="R171" s="1"/>
      <c r="S171" s="1"/>
      <c r="T171" s="1"/>
      <c r="U171" s="4"/>
      <c r="V171" s="1" t="s">
        <v>257</v>
      </c>
      <c r="W171" s="1" t="s">
        <v>258</v>
      </c>
      <c r="X171" s="1" t="s">
        <v>81</v>
      </c>
      <c r="Y171" s="1" t="s">
        <v>259</v>
      </c>
      <c r="Z171" s="1" t="s">
        <v>263</v>
      </c>
      <c r="AA171" s="1"/>
      <c r="AB171" s="1"/>
      <c r="AC171" s="1"/>
      <c r="AD171" s="1"/>
      <c r="AE171" s="1"/>
      <c r="AF171" s="2"/>
      <c r="AG171" s="2"/>
      <c r="AH171" s="2"/>
      <c r="AI171" s="2"/>
      <c r="AJ171" s="2"/>
      <c r="AK171" s="2"/>
      <c r="AL171" s="2"/>
      <c r="AM171" s="2"/>
      <c r="AN171" s="1"/>
      <c r="AO171" s="1"/>
      <c r="AP171" s="2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9" customHeight="1" x14ac:dyDescent="0.3">
      <c r="A172" s="5"/>
      <c r="B172" s="62" t="s">
        <v>350</v>
      </c>
      <c r="C172" s="1" t="s">
        <v>351</v>
      </c>
      <c r="D172" s="1">
        <f t="shared" si="3"/>
        <v>168</v>
      </c>
      <c r="E172" s="1" t="s">
        <v>352</v>
      </c>
      <c r="F172" s="1" t="s">
        <v>350</v>
      </c>
      <c r="G172" s="1"/>
      <c r="H172" s="1"/>
      <c r="I172" s="1" t="s">
        <v>147</v>
      </c>
      <c r="J172" s="1" t="s">
        <v>66</v>
      </c>
      <c r="K172" s="1"/>
      <c r="L172" s="1" t="s">
        <v>77</v>
      </c>
      <c r="M172" s="1"/>
      <c r="N172" s="1"/>
      <c r="O172" s="1"/>
      <c r="P172" s="1"/>
      <c r="Q172" s="1"/>
      <c r="R172" s="1"/>
      <c r="S172" s="1"/>
      <c r="T172" s="1"/>
      <c r="U172" s="4"/>
      <c r="V172" s="1" t="s">
        <v>79</v>
      </c>
      <c r="W172" s="1" t="s">
        <v>80</v>
      </c>
      <c r="X172" s="1" t="s">
        <v>81</v>
      </c>
      <c r="Y172" s="1"/>
      <c r="Z172" s="1"/>
      <c r="AA172" s="1"/>
      <c r="AB172" s="1"/>
      <c r="AC172" s="1"/>
      <c r="AD172" s="1"/>
      <c r="AE172" s="1"/>
      <c r="AF172" s="2"/>
      <c r="AG172" s="2"/>
      <c r="AH172" s="2"/>
      <c r="AI172" s="2"/>
      <c r="AJ172" s="2"/>
      <c r="AK172" s="2"/>
      <c r="AL172" s="2"/>
      <c r="AM172" s="2"/>
      <c r="AN172" s="1"/>
      <c r="AO172" s="1"/>
      <c r="AP172" s="2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9" customHeight="1" x14ac:dyDescent="0.3">
      <c r="A173" s="5"/>
      <c r="B173" s="62"/>
      <c r="C173" s="1" t="s">
        <v>327</v>
      </c>
      <c r="D173" s="1">
        <f t="shared" si="3"/>
        <v>169</v>
      </c>
      <c r="E173" s="1" t="s">
        <v>353</v>
      </c>
      <c r="F173" s="1" t="s">
        <v>350</v>
      </c>
      <c r="G173" s="1"/>
      <c r="H173" s="1"/>
      <c r="I173" s="1" t="s">
        <v>147</v>
      </c>
      <c r="J173" s="1" t="s">
        <v>66</v>
      </c>
      <c r="K173" s="1"/>
      <c r="L173" s="1" t="s">
        <v>77</v>
      </c>
      <c r="M173" s="1"/>
      <c r="N173" s="1"/>
      <c r="O173" s="1"/>
      <c r="P173" s="1"/>
      <c r="Q173" s="1"/>
      <c r="R173" s="1"/>
      <c r="S173" s="1"/>
      <c r="T173" s="1"/>
      <c r="U173" s="4"/>
      <c r="V173" s="1" t="s">
        <v>79</v>
      </c>
      <c r="W173" s="1" t="s">
        <v>80</v>
      </c>
      <c r="X173" s="1" t="s">
        <v>81</v>
      </c>
      <c r="Y173" s="1"/>
      <c r="Z173" s="1"/>
      <c r="AA173" s="1"/>
      <c r="AB173" s="1"/>
      <c r="AC173" s="1"/>
      <c r="AD173" s="1"/>
      <c r="AE173" s="1"/>
      <c r="AF173" s="2"/>
      <c r="AG173" s="2"/>
      <c r="AH173" s="2"/>
      <c r="AI173" s="2"/>
      <c r="AJ173" s="2"/>
      <c r="AK173" s="2"/>
      <c r="AL173" s="2"/>
      <c r="AM173" s="2"/>
      <c r="AN173" s="1"/>
      <c r="AO173" s="1"/>
      <c r="AP173" s="2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9" customHeight="1" x14ac:dyDescent="0.3">
      <c r="A174" s="5"/>
      <c r="B174" s="62"/>
      <c r="C174" s="1" t="s">
        <v>322</v>
      </c>
      <c r="D174" s="1">
        <f t="shared" si="3"/>
        <v>170</v>
      </c>
      <c r="E174" s="1" t="s">
        <v>323</v>
      </c>
      <c r="F174" s="1" t="s">
        <v>350</v>
      </c>
      <c r="G174" s="1"/>
      <c r="H174" s="1"/>
      <c r="I174" s="1" t="s">
        <v>147</v>
      </c>
      <c r="J174" s="1" t="s">
        <v>66</v>
      </c>
      <c r="K174" s="1"/>
      <c r="L174" s="1" t="s">
        <v>77</v>
      </c>
      <c r="M174" s="1"/>
      <c r="N174" s="1"/>
      <c r="O174" s="1"/>
      <c r="P174" s="1"/>
      <c r="Q174" s="1"/>
      <c r="R174" s="1"/>
      <c r="S174" s="1"/>
      <c r="T174" s="1"/>
      <c r="U174" s="4"/>
      <c r="V174" s="1" t="s">
        <v>79</v>
      </c>
      <c r="W174" s="1" t="s">
        <v>80</v>
      </c>
      <c r="X174" s="1" t="s">
        <v>81</v>
      </c>
      <c r="Y174" s="1"/>
      <c r="Z174" s="1"/>
      <c r="AA174" s="1"/>
      <c r="AB174" s="1"/>
      <c r="AC174" s="1"/>
      <c r="AD174" s="1"/>
      <c r="AE174" s="1"/>
      <c r="AF174" s="2"/>
      <c r="AG174" s="2"/>
      <c r="AH174" s="2"/>
      <c r="AI174" s="2"/>
      <c r="AJ174" s="2"/>
      <c r="AK174" s="2"/>
      <c r="AL174" s="2"/>
      <c r="AM174" s="2"/>
      <c r="AN174" s="1"/>
      <c r="AO174" s="1"/>
      <c r="AP174" s="2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9" customHeight="1" x14ac:dyDescent="0.3">
      <c r="A175" s="5"/>
      <c r="B175" s="62"/>
      <c r="C175" s="1" t="s">
        <v>327</v>
      </c>
      <c r="D175" s="1">
        <f t="shared" si="3"/>
        <v>171</v>
      </c>
      <c r="E175" s="1" t="s">
        <v>346</v>
      </c>
      <c r="F175" s="1" t="s">
        <v>350</v>
      </c>
      <c r="G175" s="1"/>
      <c r="H175" s="1"/>
      <c r="I175" s="1" t="s">
        <v>147</v>
      </c>
      <c r="J175" s="1" t="s">
        <v>66</v>
      </c>
      <c r="K175" s="1"/>
      <c r="L175" s="1" t="s">
        <v>77</v>
      </c>
      <c r="M175" s="1"/>
      <c r="N175" s="1"/>
      <c r="O175" s="1"/>
      <c r="P175" s="1"/>
      <c r="Q175" s="1"/>
      <c r="R175" s="1"/>
      <c r="S175" s="1"/>
      <c r="T175" s="1"/>
      <c r="U175" s="4"/>
      <c r="V175" s="1" t="s">
        <v>79</v>
      </c>
      <c r="W175" s="1" t="s">
        <v>80</v>
      </c>
      <c r="X175" s="1" t="s">
        <v>81</v>
      </c>
      <c r="Y175" s="1"/>
      <c r="Z175" s="1"/>
      <c r="AA175" s="1"/>
      <c r="AB175" s="1"/>
      <c r="AC175" s="1"/>
      <c r="AD175" s="1"/>
      <c r="AE175" s="1"/>
      <c r="AF175" s="2"/>
      <c r="AG175" s="2"/>
      <c r="AH175" s="2"/>
      <c r="AI175" s="2"/>
      <c r="AJ175" s="2"/>
      <c r="AK175" s="2"/>
      <c r="AL175" s="2"/>
      <c r="AM175" s="2"/>
      <c r="AN175" s="1"/>
      <c r="AO175" s="1"/>
      <c r="AP175" s="2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9" customHeight="1" x14ac:dyDescent="0.3">
      <c r="A176" s="5"/>
      <c r="B176" s="62"/>
      <c r="C176" s="1" t="s">
        <v>322</v>
      </c>
      <c r="D176" s="1">
        <f t="shared" si="3"/>
        <v>172</v>
      </c>
      <c r="E176" s="1" t="s">
        <v>354</v>
      </c>
      <c r="F176" s="1" t="s">
        <v>350</v>
      </c>
      <c r="G176" s="1"/>
      <c r="H176" s="1"/>
      <c r="I176" s="1" t="s">
        <v>147</v>
      </c>
      <c r="J176" s="1" t="s">
        <v>66</v>
      </c>
      <c r="K176" s="1"/>
      <c r="L176" s="1" t="s">
        <v>77</v>
      </c>
      <c r="M176" s="1"/>
      <c r="N176" s="1"/>
      <c r="O176" s="1"/>
      <c r="P176" s="1"/>
      <c r="Q176" s="1"/>
      <c r="R176" s="1"/>
      <c r="S176" s="1"/>
      <c r="T176" s="1"/>
      <c r="U176" s="4"/>
      <c r="V176" s="1" t="s">
        <v>79</v>
      </c>
      <c r="W176" s="1" t="s">
        <v>80</v>
      </c>
      <c r="X176" s="1" t="s">
        <v>81</v>
      </c>
      <c r="Y176" s="1"/>
      <c r="Z176" s="1"/>
      <c r="AA176" s="1"/>
      <c r="AB176" s="1"/>
      <c r="AC176" s="1"/>
      <c r="AD176" s="1"/>
      <c r="AE176" s="1"/>
      <c r="AF176" s="2"/>
      <c r="AG176" s="2"/>
      <c r="AH176" s="2"/>
      <c r="AI176" s="2"/>
      <c r="AJ176" s="2"/>
      <c r="AK176" s="2"/>
      <c r="AL176" s="2"/>
      <c r="AM176" s="2"/>
      <c r="AN176" s="1"/>
      <c r="AO176" s="1"/>
      <c r="AP176" s="2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9" customHeight="1" x14ac:dyDescent="0.3">
      <c r="A177" s="5"/>
      <c r="B177" s="62"/>
      <c r="C177" s="1" t="s">
        <v>327</v>
      </c>
      <c r="D177" s="1">
        <f t="shared" si="3"/>
        <v>173</v>
      </c>
      <c r="E177" s="1" t="s">
        <v>355</v>
      </c>
      <c r="F177" s="1" t="s">
        <v>350</v>
      </c>
      <c r="G177" s="1"/>
      <c r="H177" s="1"/>
      <c r="I177" s="1" t="s">
        <v>147</v>
      </c>
      <c r="J177" s="1" t="s">
        <v>66</v>
      </c>
      <c r="K177" s="1"/>
      <c r="L177" s="1" t="s">
        <v>77</v>
      </c>
      <c r="M177" s="1"/>
      <c r="N177" s="1"/>
      <c r="O177" s="1"/>
      <c r="P177" s="1"/>
      <c r="Q177" s="1"/>
      <c r="R177" s="1"/>
      <c r="S177" s="1"/>
      <c r="T177" s="1"/>
      <c r="U177" s="4"/>
      <c r="V177" s="1" t="s">
        <v>79</v>
      </c>
      <c r="W177" s="1" t="s">
        <v>80</v>
      </c>
      <c r="X177" s="1" t="s">
        <v>81</v>
      </c>
      <c r="Y177" s="1"/>
      <c r="Z177" s="1"/>
      <c r="AA177" s="1"/>
      <c r="AB177" s="1"/>
      <c r="AC177" s="1"/>
      <c r="AD177" s="1"/>
      <c r="AE177" s="1"/>
      <c r="AF177" s="2"/>
      <c r="AG177" s="2"/>
      <c r="AH177" s="2"/>
      <c r="AI177" s="2"/>
      <c r="AJ177" s="2"/>
      <c r="AK177" s="2"/>
      <c r="AL177" s="2"/>
      <c r="AM177" s="2"/>
      <c r="AN177" s="1"/>
      <c r="AO177" s="1"/>
      <c r="AP177" s="2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9" customHeight="1" x14ac:dyDescent="0.3">
      <c r="A178" s="5"/>
      <c r="B178" s="62"/>
      <c r="C178" s="1" t="s">
        <v>322</v>
      </c>
      <c r="D178" s="1">
        <f t="shared" si="3"/>
        <v>174</v>
      </c>
      <c r="E178" s="1" t="s">
        <v>356</v>
      </c>
      <c r="F178" s="1" t="s">
        <v>350</v>
      </c>
      <c r="G178" s="1"/>
      <c r="H178" s="1"/>
      <c r="I178" s="1" t="s">
        <v>147</v>
      </c>
      <c r="J178" s="1" t="s">
        <v>66</v>
      </c>
      <c r="K178" s="1"/>
      <c r="L178" s="1" t="s">
        <v>77</v>
      </c>
      <c r="M178" s="1"/>
      <c r="N178" s="1"/>
      <c r="O178" s="1"/>
      <c r="P178" s="1"/>
      <c r="Q178" s="1"/>
      <c r="R178" s="1"/>
      <c r="S178" s="1"/>
      <c r="T178" s="1"/>
      <c r="U178" s="4"/>
      <c r="V178" s="1" t="s">
        <v>79</v>
      </c>
      <c r="W178" s="1" t="s">
        <v>80</v>
      </c>
      <c r="X178" s="1" t="s">
        <v>81</v>
      </c>
      <c r="Y178" s="1"/>
      <c r="Z178" s="1"/>
      <c r="AA178" s="1"/>
      <c r="AB178" s="1"/>
      <c r="AC178" s="1"/>
      <c r="AD178" s="1"/>
      <c r="AE178" s="1"/>
      <c r="AF178" s="2"/>
      <c r="AG178" s="2"/>
      <c r="AH178" s="2"/>
      <c r="AI178" s="2"/>
      <c r="AJ178" s="2"/>
      <c r="AK178" s="2"/>
      <c r="AL178" s="2"/>
      <c r="AM178" s="2"/>
      <c r="AN178" s="1"/>
      <c r="AO178" s="1"/>
      <c r="AP178" s="2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9" customHeight="1" x14ac:dyDescent="0.3">
      <c r="A179" s="5"/>
      <c r="B179" s="62"/>
      <c r="C179" s="1" t="s">
        <v>327</v>
      </c>
      <c r="D179" s="1">
        <f t="shared" si="3"/>
        <v>175</v>
      </c>
      <c r="E179" s="1" t="s">
        <v>357</v>
      </c>
      <c r="F179" s="1" t="s">
        <v>350</v>
      </c>
      <c r="G179" s="1"/>
      <c r="H179" s="1"/>
      <c r="I179" s="1" t="s">
        <v>147</v>
      </c>
      <c r="J179" s="1" t="s">
        <v>66</v>
      </c>
      <c r="K179" s="1"/>
      <c r="L179" s="1" t="s">
        <v>77</v>
      </c>
      <c r="M179" s="1"/>
      <c r="N179" s="1"/>
      <c r="O179" s="1"/>
      <c r="P179" s="1"/>
      <c r="Q179" s="1"/>
      <c r="R179" s="1"/>
      <c r="S179" s="1"/>
      <c r="T179" s="1"/>
      <c r="U179" s="4"/>
      <c r="V179" s="1" t="s">
        <v>79</v>
      </c>
      <c r="W179" s="1" t="s">
        <v>80</v>
      </c>
      <c r="X179" s="1" t="s">
        <v>81</v>
      </c>
      <c r="Y179" s="1"/>
      <c r="Z179" s="1"/>
      <c r="AA179" s="1"/>
      <c r="AB179" s="1"/>
      <c r="AC179" s="1"/>
      <c r="AD179" s="1"/>
      <c r="AE179" s="1"/>
      <c r="AF179" s="2"/>
      <c r="AG179" s="2"/>
      <c r="AH179" s="2"/>
      <c r="AI179" s="2"/>
      <c r="AJ179" s="2"/>
      <c r="AK179" s="2"/>
      <c r="AL179" s="2"/>
      <c r="AM179" s="2"/>
      <c r="AN179" s="1"/>
      <c r="AO179" s="1"/>
      <c r="AP179" s="2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9" customHeight="1" x14ac:dyDescent="0.3">
      <c r="A180" s="5"/>
      <c r="B180" s="62"/>
      <c r="C180" s="1" t="s">
        <v>327</v>
      </c>
      <c r="D180" s="1">
        <f t="shared" si="3"/>
        <v>176</v>
      </c>
      <c r="E180" s="1" t="s">
        <v>358</v>
      </c>
      <c r="F180" s="1" t="s">
        <v>350</v>
      </c>
      <c r="G180" s="1"/>
      <c r="H180" s="1"/>
      <c r="I180" s="1" t="s">
        <v>147</v>
      </c>
      <c r="J180" s="1" t="s">
        <v>66</v>
      </c>
      <c r="K180" s="1"/>
      <c r="L180" s="1" t="s">
        <v>77</v>
      </c>
      <c r="M180" s="1"/>
      <c r="N180" s="1"/>
      <c r="O180" s="1"/>
      <c r="P180" s="1"/>
      <c r="Q180" s="1"/>
      <c r="R180" s="1"/>
      <c r="S180" s="1"/>
      <c r="T180" s="1"/>
      <c r="U180" s="4"/>
      <c r="V180" s="1" t="s">
        <v>79</v>
      </c>
      <c r="W180" s="1" t="s">
        <v>80</v>
      </c>
      <c r="X180" s="1" t="s">
        <v>81</v>
      </c>
      <c r="Y180" s="1"/>
      <c r="Z180" s="1"/>
      <c r="AA180" s="1"/>
      <c r="AB180" s="1"/>
      <c r="AC180" s="1"/>
      <c r="AD180" s="1"/>
      <c r="AE180" s="1"/>
      <c r="AF180" s="2"/>
      <c r="AG180" s="2"/>
      <c r="AH180" s="2"/>
      <c r="AI180" s="2"/>
      <c r="AJ180" s="2"/>
      <c r="AK180" s="2"/>
      <c r="AL180" s="2"/>
      <c r="AM180" s="2"/>
      <c r="AN180" s="1"/>
      <c r="AO180" s="1"/>
      <c r="AP180" s="2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9" customHeight="1" x14ac:dyDescent="0.3">
      <c r="A181" s="5"/>
      <c r="B181" s="62"/>
      <c r="C181" s="1" t="s">
        <v>327</v>
      </c>
      <c r="D181" s="1">
        <f t="shared" si="3"/>
        <v>177</v>
      </c>
      <c r="E181" s="1" t="s">
        <v>359</v>
      </c>
      <c r="F181" s="1" t="s">
        <v>350</v>
      </c>
      <c r="G181" s="1"/>
      <c r="H181" s="1"/>
      <c r="I181" s="1" t="s">
        <v>147</v>
      </c>
      <c r="J181" s="1" t="s">
        <v>66</v>
      </c>
      <c r="K181" s="1"/>
      <c r="L181" s="1" t="s">
        <v>77</v>
      </c>
      <c r="M181" s="1"/>
      <c r="N181" s="1"/>
      <c r="O181" s="1"/>
      <c r="P181" s="1"/>
      <c r="Q181" s="1"/>
      <c r="R181" s="1"/>
      <c r="S181" s="1"/>
      <c r="T181" s="1"/>
      <c r="U181" s="4"/>
      <c r="V181" s="1" t="s">
        <v>79</v>
      </c>
      <c r="W181" s="1" t="s">
        <v>80</v>
      </c>
      <c r="X181" s="1" t="s">
        <v>81</v>
      </c>
      <c r="Y181" s="1"/>
      <c r="Z181" s="1"/>
      <c r="AA181" s="1"/>
      <c r="AB181" s="1"/>
      <c r="AC181" s="1"/>
      <c r="AD181" s="1"/>
      <c r="AE181" s="1"/>
      <c r="AF181" s="2"/>
      <c r="AG181" s="2"/>
      <c r="AH181" s="2"/>
      <c r="AI181" s="2"/>
      <c r="AJ181" s="2"/>
      <c r="AK181" s="2"/>
      <c r="AL181" s="2"/>
      <c r="AM181" s="2"/>
      <c r="AN181" s="1"/>
      <c r="AO181" s="1"/>
      <c r="AP181" s="2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9" customHeight="1" x14ac:dyDescent="0.3">
      <c r="A182" s="5"/>
      <c r="B182" s="62"/>
      <c r="C182" s="1" t="s">
        <v>322</v>
      </c>
      <c r="D182" s="1">
        <f t="shared" si="3"/>
        <v>178</v>
      </c>
      <c r="E182" s="1" t="s">
        <v>360</v>
      </c>
      <c r="F182" s="1" t="s">
        <v>350</v>
      </c>
      <c r="G182" s="1"/>
      <c r="H182" s="1"/>
      <c r="I182" s="1" t="s">
        <v>147</v>
      </c>
      <c r="J182" s="1" t="s">
        <v>66</v>
      </c>
      <c r="K182" s="1"/>
      <c r="L182" s="1" t="s">
        <v>77</v>
      </c>
      <c r="M182" s="1"/>
      <c r="N182" s="1"/>
      <c r="O182" s="1"/>
      <c r="P182" s="1"/>
      <c r="Q182" s="1"/>
      <c r="R182" s="1"/>
      <c r="S182" s="1"/>
      <c r="T182" s="1"/>
      <c r="U182" s="4"/>
      <c r="V182" s="1" t="s">
        <v>79</v>
      </c>
      <c r="W182" s="1" t="s">
        <v>80</v>
      </c>
      <c r="X182" s="1" t="s">
        <v>81</v>
      </c>
      <c r="Y182" s="1"/>
      <c r="Z182" s="1"/>
      <c r="AA182" s="1"/>
      <c r="AB182" s="1"/>
      <c r="AC182" s="1"/>
      <c r="AD182" s="1"/>
      <c r="AE182" s="1"/>
      <c r="AF182" s="2"/>
      <c r="AG182" s="2"/>
      <c r="AH182" s="2"/>
      <c r="AI182" s="2"/>
      <c r="AJ182" s="2"/>
      <c r="AK182" s="2"/>
      <c r="AL182" s="2"/>
      <c r="AM182" s="2"/>
      <c r="AN182" s="1"/>
      <c r="AO182" s="1"/>
      <c r="AP182" s="2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9" customHeight="1" x14ac:dyDescent="0.3">
      <c r="A183" s="5"/>
      <c r="B183" s="62"/>
      <c r="C183" s="1" t="s">
        <v>327</v>
      </c>
      <c r="D183" s="1">
        <f t="shared" si="3"/>
        <v>179</v>
      </c>
      <c r="E183" s="1" t="s">
        <v>361</v>
      </c>
      <c r="F183" s="1" t="s">
        <v>350</v>
      </c>
      <c r="G183" s="1"/>
      <c r="H183" s="1"/>
      <c r="I183" s="1" t="s">
        <v>147</v>
      </c>
      <c r="J183" s="1" t="s">
        <v>66</v>
      </c>
      <c r="K183" s="1"/>
      <c r="L183" s="1" t="s">
        <v>77</v>
      </c>
      <c r="M183" s="1"/>
      <c r="N183" s="1"/>
      <c r="O183" s="1"/>
      <c r="P183" s="1"/>
      <c r="Q183" s="1"/>
      <c r="R183" s="1"/>
      <c r="S183" s="1"/>
      <c r="T183" s="1"/>
      <c r="U183" s="4"/>
      <c r="V183" s="1" t="s">
        <v>79</v>
      </c>
      <c r="W183" s="1" t="s">
        <v>80</v>
      </c>
      <c r="X183" s="1" t="s">
        <v>81</v>
      </c>
      <c r="Y183" s="1"/>
      <c r="Z183" s="1"/>
      <c r="AA183" s="1"/>
      <c r="AB183" s="1"/>
      <c r="AC183" s="1"/>
      <c r="AD183" s="1"/>
      <c r="AE183" s="1"/>
      <c r="AF183" s="2"/>
      <c r="AG183" s="2"/>
      <c r="AH183" s="2"/>
      <c r="AI183" s="2"/>
      <c r="AJ183" s="2"/>
      <c r="AK183" s="2"/>
      <c r="AL183" s="2"/>
      <c r="AM183" s="2"/>
      <c r="AN183" s="1"/>
      <c r="AO183" s="1"/>
      <c r="AP183" s="2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9" customHeight="1" x14ac:dyDescent="0.3">
      <c r="A184" s="5"/>
      <c r="B184" s="62" t="s">
        <v>362</v>
      </c>
      <c r="C184" s="1" t="s">
        <v>363</v>
      </c>
      <c r="D184" s="1">
        <f t="shared" si="3"/>
        <v>180</v>
      </c>
      <c r="E184" s="1" t="s">
        <v>364</v>
      </c>
      <c r="F184" s="1" t="s">
        <v>362</v>
      </c>
      <c r="G184" s="1" t="s">
        <v>83</v>
      </c>
      <c r="H184" s="1" t="s">
        <v>64</v>
      </c>
      <c r="I184" s="1" t="s">
        <v>147</v>
      </c>
      <c r="J184" s="1" t="s">
        <v>66</v>
      </c>
      <c r="K184" s="1"/>
      <c r="L184" s="1" t="s">
        <v>77</v>
      </c>
      <c r="M184" s="1"/>
      <c r="N184" s="1"/>
      <c r="O184" s="1"/>
      <c r="P184" s="1"/>
      <c r="Q184" s="1"/>
      <c r="R184" s="1"/>
      <c r="S184" s="1"/>
      <c r="T184" s="1"/>
      <c r="U184" s="4"/>
      <c r="V184" s="1" t="s">
        <v>163</v>
      </c>
      <c r="W184" s="1" t="s">
        <v>215</v>
      </c>
      <c r="X184" s="1" t="s">
        <v>81</v>
      </c>
      <c r="Y184" s="1"/>
      <c r="Z184" s="1"/>
      <c r="AA184" s="6">
        <v>44958</v>
      </c>
      <c r="AB184" s="1"/>
      <c r="AC184" s="1"/>
      <c r="AD184" s="1"/>
      <c r="AE184" s="1"/>
      <c r="AF184" s="2"/>
      <c r="AG184" s="2">
        <v>3</v>
      </c>
      <c r="AH184" s="7"/>
      <c r="AI184" s="2"/>
      <c r="AJ184" s="2"/>
      <c r="AK184" s="2"/>
      <c r="AL184" s="2"/>
      <c r="AM184" s="2"/>
      <c r="AN184" s="1"/>
      <c r="AO184" s="1"/>
      <c r="AP184" s="2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9" customHeight="1" x14ac:dyDescent="0.3">
      <c r="A185" s="5"/>
      <c r="B185" s="62"/>
      <c r="C185" s="1" t="s">
        <v>365</v>
      </c>
      <c r="D185" s="1">
        <f t="shared" si="3"/>
        <v>181</v>
      </c>
      <c r="E185" s="1" t="s">
        <v>366</v>
      </c>
      <c r="F185" s="1" t="s">
        <v>362</v>
      </c>
      <c r="G185" s="1" t="s">
        <v>83</v>
      </c>
      <c r="H185" s="1" t="s">
        <v>64</v>
      </c>
      <c r="I185" s="1" t="s">
        <v>147</v>
      </c>
      <c r="J185" s="1" t="s">
        <v>66</v>
      </c>
      <c r="K185" s="1"/>
      <c r="L185" s="1" t="s">
        <v>77</v>
      </c>
      <c r="M185" s="1"/>
      <c r="N185" s="1"/>
      <c r="O185" s="1"/>
      <c r="P185" s="1"/>
      <c r="Q185" s="1"/>
      <c r="R185" s="1"/>
      <c r="S185" s="1"/>
      <c r="T185" s="1"/>
      <c r="U185" s="4"/>
      <c r="V185" s="1" t="s">
        <v>163</v>
      </c>
      <c r="W185" s="1" t="s">
        <v>215</v>
      </c>
      <c r="X185" s="1" t="s">
        <v>81</v>
      </c>
      <c r="Y185" s="1"/>
      <c r="Z185" s="1"/>
      <c r="AA185" s="6">
        <v>44958</v>
      </c>
      <c r="AB185" s="1"/>
      <c r="AC185" s="1"/>
      <c r="AD185" s="1"/>
      <c r="AE185" s="1"/>
      <c r="AF185" s="2"/>
      <c r="AG185" s="2">
        <v>5</v>
      </c>
      <c r="AH185" s="2"/>
      <c r="AI185" s="2"/>
      <c r="AJ185" s="2"/>
      <c r="AK185" s="2"/>
      <c r="AL185" s="2"/>
      <c r="AM185" s="2"/>
      <c r="AN185" s="1"/>
      <c r="AO185" s="1"/>
      <c r="AP185" s="2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9" customHeight="1" x14ac:dyDescent="0.3">
      <c r="A186" s="5"/>
      <c r="B186" s="62"/>
      <c r="C186" s="1" t="s">
        <v>363</v>
      </c>
      <c r="D186" s="1">
        <f t="shared" si="3"/>
        <v>182</v>
      </c>
      <c r="E186" s="1" t="s">
        <v>363</v>
      </c>
      <c r="F186" s="1" t="s">
        <v>362</v>
      </c>
      <c r="G186" s="1" t="s">
        <v>83</v>
      </c>
      <c r="H186" s="1" t="s">
        <v>64</v>
      </c>
      <c r="I186" s="1" t="s">
        <v>147</v>
      </c>
      <c r="J186" s="1" t="s">
        <v>66</v>
      </c>
      <c r="K186" s="1"/>
      <c r="L186" s="1" t="s">
        <v>77</v>
      </c>
      <c r="M186" s="1"/>
      <c r="N186" s="1"/>
      <c r="O186" s="1"/>
      <c r="P186" s="1"/>
      <c r="Q186" s="1"/>
      <c r="R186" s="1"/>
      <c r="S186" s="1"/>
      <c r="T186" s="1"/>
      <c r="U186" s="4"/>
      <c r="V186" s="1" t="s">
        <v>163</v>
      </c>
      <c r="W186" s="1" t="s">
        <v>215</v>
      </c>
      <c r="X186" s="1" t="s">
        <v>81</v>
      </c>
      <c r="Y186" s="1"/>
      <c r="Z186" s="1"/>
      <c r="AA186" s="6">
        <v>44958</v>
      </c>
      <c r="AB186" s="1"/>
      <c r="AC186" s="1"/>
      <c r="AD186" s="1"/>
      <c r="AE186" s="1"/>
      <c r="AF186" s="2"/>
      <c r="AG186" s="2">
        <v>3</v>
      </c>
      <c r="AH186" s="2"/>
      <c r="AI186" s="2"/>
      <c r="AJ186" s="2"/>
      <c r="AK186" s="2"/>
      <c r="AL186" s="2"/>
      <c r="AM186" s="2"/>
      <c r="AN186" s="1"/>
      <c r="AO186" s="1"/>
      <c r="AP186" s="2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9" customHeight="1" x14ac:dyDescent="0.3">
      <c r="A187" s="5"/>
      <c r="B187" s="62"/>
      <c r="C187" s="1" t="s">
        <v>327</v>
      </c>
      <c r="D187" s="1">
        <f t="shared" si="3"/>
        <v>183</v>
      </c>
      <c r="E187" s="1" t="s">
        <v>367</v>
      </c>
      <c r="F187" s="1" t="s">
        <v>362</v>
      </c>
      <c r="G187" s="1" t="s">
        <v>90</v>
      </c>
      <c r="H187" s="1" t="s">
        <v>64</v>
      </c>
      <c r="I187" s="1" t="s">
        <v>147</v>
      </c>
      <c r="J187" s="1" t="s">
        <v>66</v>
      </c>
      <c r="K187" s="1"/>
      <c r="L187" s="1" t="s">
        <v>77</v>
      </c>
      <c r="M187" s="1"/>
      <c r="N187" s="1"/>
      <c r="O187" s="1"/>
      <c r="P187" s="1"/>
      <c r="Q187" s="1"/>
      <c r="R187" s="1"/>
      <c r="S187" s="1"/>
      <c r="T187" s="1"/>
      <c r="U187" s="4"/>
      <c r="V187" s="1" t="s">
        <v>163</v>
      </c>
      <c r="W187" s="1" t="s">
        <v>215</v>
      </c>
      <c r="X187" s="1" t="s">
        <v>81</v>
      </c>
      <c r="Y187" s="1"/>
      <c r="Z187" s="1"/>
      <c r="AA187" s="6">
        <v>44958</v>
      </c>
      <c r="AB187" s="1"/>
      <c r="AC187" s="1"/>
      <c r="AD187" s="1"/>
      <c r="AE187" s="1"/>
      <c r="AF187" s="2"/>
      <c r="AG187" s="2">
        <v>5</v>
      </c>
      <c r="AH187" s="2"/>
      <c r="AI187" s="2"/>
      <c r="AJ187" s="2"/>
      <c r="AK187" s="2"/>
      <c r="AL187" s="2"/>
      <c r="AM187" s="2"/>
      <c r="AN187" s="1"/>
      <c r="AO187" s="1"/>
      <c r="AP187" s="2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9" customHeight="1" x14ac:dyDescent="0.3">
      <c r="A188" s="5"/>
      <c r="B188" s="62"/>
      <c r="C188" s="1" t="s">
        <v>368</v>
      </c>
      <c r="D188" s="1">
        <f t="shared" si="3"/>
        <v>184</v>
      </c>
      <c r="E188" s="1" t="s">
        <v>369</v>
      </c>
      <c r="F188" s="1" t="s">
        <v>362</v>
      </c>
      <c r="G188" s="1" t="s">
        <v>90</v>
      </c>
      <c r="H188" s="1" t="s">
        <v>64</v>
      </c>
      <c r="I188" s="1" t="s">
        <v>147</v>
      </c>
      <c r="J188" s="1" t="s">
        <v>66</v>
      </c>
      <c r="K188" s="1"/>
      <c r="L188" s="1" t="s">
        <v>77</v>
      </c>
      <c r="M188" s="1"/>
      <c r="N188" s="1"/>
      <c r="O188" s="1"/>
      <c r="P188" s="1"/>
      <c r="Q188" s="1"/>
      <c r="R188" s="1"/>
      <c r="S188" s="1"/>
      <c r="T188" s="1"/>
      <c r="U188" s="4"/>
      <c r="V188" s="1" t="s">
        <v>163</v>
      </c>
      <c r="W188" s="1" t="s">
        <v>215</v>
      </c>
      <c r="X188" s="1" t="s">
        <v>81</v>
      </c>
      <c r="Y188" s="1"/>
      <c r="Z188" s="1"/>
      <c r="AA188" s="6">
        <v>44958</v>
      </c>
      <c r="AB188" s="1"/>
      <c r="AC188" s="1"/>
      <c r="AD188" s="1"/>
      <c r="AE188" s="1"/>
      <c r="AF188" s="2"/>
      <c r="AG188" s="2">
        <v>3</v>
      </c>
      <c r="AH188" s="2"/>
      <c r="AI188" s="2"/>
      <c r="AJ188" s="2"/>
      <c r="AK188" s="2"/>
      <c r="AL188" s="2"/>
      <c r="AM188" s="2"/>
      <c r="AN188" s="1"/>
      <c r="AO188" s="1"/>
      <c r="AP188" s="2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9" customHeight="1" x14ac:dyDescent="0.3">
      <c r="A189" s="5"/>
      <c r="B189" s="62"/>
      <c r="C189" s="1" t="s">
        <v>327</v>
      </c>
      <c r="D189" s="1">
        <f t="shared" si="3"/>
        <v>185</v>
      </c>
      <c r="E189" s="1" t="s">
        <v>370</v>
      </c>
      <c r="F189" s="1" t="s">
        <v>362</v>
      </c>
      <c r="G189" s="1" t="s">
        <v>83</v>
      </c>
      <c r="H189" s="1" t="s">
        <v>64</v>
      </c>
      <c r="I189" s="1" t="s">
        <v>147</v>
      </c>
      <c r="J189" s="1" t="s">
        <v>66</v>
      </c>
      <c r="K189" s="1"/>
      <c r="L189" s="1" t="s">
        <v>77</v>
      </c>
      <c r="M189" s="1"/>
      <c r="N189" s="1"/>
      <c r="O189" s="1"/>
      <c r="P189" s="1"/>
      <c r="Q189" s="1"/>
      <c r="R189" s="1"/>
      <c r="S189" s="1"/>
      <c r="T189" s="1"/>
      <c r="U189" s="4"/>
      <c r="V189" s="1" t="s">
        <v>163</v>
      </c>
      <c r="W189" s="1" t="s">
        <v>215</v>
      </c>
      <c r="X189" s="1" t="s">
        <v>81</v>
      </c>
      <c r="Y189" s="1"/>
      <c r="Z189" s="1"/>
      <c r="AA189" s="6">
        <v>44958</v>
      </c>
      <c r="AB189" s="1"/>
      <c r="AC189" s="1"/>
      <c r="AD189" s="1"/>
      <c r="AE189" s="1"/>
      <c r="AF189" s="2"/>
      <c r="AG189" s="2">
        <v>3</v>
      </c>
      <c r="AH189" s="2"/>
      <c r="AI189" s="2"/>
      <c r="AJ189" s="2"/>
      <c r="AK189" s="2"/>
      <c r="AL189" s="2"/>
      <c r="AM189" s="2"/>
      <c r="AN189" s="1"/>
      <c r="AO189" s="1"/>
      <c r="AP189" s="2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9" customHeight="1" x14ac:dyDescent="0.3">
      <c r="A190" s="5"/>
      <c r="B190" s="62"/>
      <c r="C190" s="1" t="s">
        <v>351</v>
      </c>
      <c r="D190" s="1">
        <f t="shared" si="3"/>
        <v>186</v>
      </c>
      <c r="E190" s="1" t="s">
        <v>371</v>
      </c>
      <c r="F190" s="1" t="s">
        <v>362</v>
      </c>
      <c r="G190" s="1" t="s">
        <v>83</v>
      </c>
      <c r="H190" s="1" t="s">
        <v>64</v>
      </c>
      <c r="I190" s="1" t="s">
        <v>147</v>
      </c>
      <c r="J190" s="1" t="s">
        <v>66</v>
      </c>
      <c r="K190" s="1"/>
      <c r="L190" s="1" t="s">
        <v>77</v>
      </c>
      <c r="M190" s="1"/>
      <c r="N190" s="1"/>
      <c r="O190" s="1"/>
      <c r="P190" s="1"/>
      <c r="Q190" s="1"/>
      <c r="R190" s="1"/>
      <c r="S190" s="1"/>
      <c r="T190" s="1"/>
      <c r="U190" s="4"/>
      <c r="V190" s="1" t="s">
        <v>163</v>
      </c>
      <c r="W190" s="1" t="s">
        <v>215</v>
      </c>
      <c r="X190" s="1" t="s">
        <v>81</v>
      </c>
      <c r="Y190" s="1"/>
      <c r="Z190" s="1"/>
      <c r="AA190" s="6">
        <v>44958</v>
      </c>
      <c r="AB190" s="1"/>
      <c r="AC190" s="1"/>
      <c r="AD190" s="1"/>
      <c r="AE190" s="1"/>
      <c r="AF190" s="2"/>
      <c r="AG190" s="2">
        <v>3</v>
      </c>
      <c r="AH190" s="2"/>
      <c r="AI190" s="2"/>
      <c r="AJ190" s="2"/>
      <c r="AK190" s="2"/>
      <c r="AL190" s="2"/>
      <c r="AM190" s="2"/>
      <c r="AN190" s="1"/>
      <c r="AO190" s="1"/>
      <c r="AP190" s="2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9" customHeight="1" x14ac:dyDescent="0.3">
      <c r="A191" s="5"/>
      <c r="B191" s="62"/>
      <c r="C191" s="1" t="s">
        <v>365</v>
      </c>
      <c r="D191" s="1">
        <f t="shared" si="3"/>
        <v>187</v>
      </c>
      <c r="E191" s="1" t="s">
        <v>372</v>
      </c>
      <c r="F191" s="1" t="s">
        <v>362</v>
      </c>
      <c r="G191" s="1" t="s">
        <v>90</v>
      </c>
      <c r="H191" s="1" t="s">
        <v>64</v>
      </c>
      <c r="I191" s="1" t="s">
        <v>147</v>
      </c>
      <c r="J191" s="1" t="s">
        <v>66</v>
      </c>
      <c r="K191" s="1"/>
      <c r="L191" s="1" t="s">
        <v>77</v>
      </c>
      <c r="M191" s="1"/>
      <c r="N191" s="1"/>
      <c r="O191" s="1"/>
      <c r="P191" s="1"/>
      <c r="Q191" s="1"/>
      <c r="R191" s="1"/>
      <c r="S191" s="1"/>
      <c r="T191" s="1"/>
      <c r="U191" s="4"/>
      <c r="V191" s="1" t="s">
        <v>163</v>
      </c>
      <c r="W191" s="1" t="s">
        <v>215</v>
      </c>
      <c r="X191" s="1" t="s">
        <v>81</v>
      </c>
      <c r="Y191" s="1"/>
      <c r="Z191" s="1"/>
      <c r="AA191" s="6">
        <v>44958</v>
      </c>
      <c r="AB191" s="1"/>
      <c r="AC191" s="1"/>
      <c r="AD191" s="1"/>
      <c r="AE191" s="1"/>
      <c r="AF191" s="2"/>
      <c r="AG191" s="2">
        <v>5</v>
      </c>
      <c r="AH191" s="2"/>
      <c r="AI191" s="2"/>
      <c r="AJ191" s="2"/>
      <c r="AK191" s="2"/>
      <c r="AL191" s="2"/>
      <c r="AM191" s="2"/>
      <c r="AN191" s="1"/>
      <c r="AO191" s="1"/>
      <c r="AP191" s="2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9" customHeight="1" x14ac:dyDescent="0.3">
      <c r="A192" s="5"/>
      <c r="B192" s="62"/>
      <c r="C192" s="1" t="s">
        <v>373</v>
      </c>
      <c r="D192" s="1">
        <f t="shared" si="3"/>
        <v>188</v>
      </c>
      <c r="E192" s="1" t="s">
        <v>373</v>
      </c>
      <c r="F192" s="1" t="s">
        <v>362</v>
      </c>
      <c r="G192" s="1" t="s">
        <v>83</v>
      </c>
      <c r="H192" s="1" t="s">
        <v>64</v>
      </c>
      <c r="I192" s="1" t="s">
        <v>147</v>
      </c>
      <c r="J192" s="1" t="s">
        <v>66</v>
      </c>
      <c r="K192" s="1"/>
      <c r="L192" s="1" t="s">
        <v>77</v>
      </c>
      <c r="M192" s="1"/>
      <c r="N192" s="1"/>
      <c r="O192" s="1"/>
      <c r="P192" s="1"/>
      <c r="Q192" s="1"/>
      <c r="R192" s="1"/>
      <c r="S192" s="1"/>
      <c r="T192" s="1"/>
      <c r="U192" s="4"/>
      <c r="V192" s="1" t="s">
        <v>163</v>
      </c>
      <c r="W192" s="1" t="s">
        <v>215</v>
      </c>
      <c r="X192" s="1" t="s">
        <v>81</v>
      </c>
      <c r="Y192" s="1"/>
      <c r="Z192" s="1"/>
      <c r="AA192" s="6">
        <v>44958</v>
      </c>
      <c r="AB192" s="1"/>
      <c r="AC192" s="1"/>
      <c r="AD192" s="1"/>
      <c r="AE192" s="1"/>
      <c r="AF192" s="2"/>
      <c r="AG192" s="2">
        <v>5</v>
      </c>
      <c r="AH192" s="2"/>
      <c r="AI192" s="2"/>
      <c r="AJ192" s="2"/>
      <c r="AK192" s="2"/>
      <c r="AL192" s="2"/>
      <c r="AM192" s="2"/>
      <c r="AN192" s="1"/>
      <c r="AO192" s="1"/>
      <c r="AP192" s="2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9" customHeight="1" x14ac:dyDescent="0.3">
      <c r="A193" s="5"/>
      <c r="B193" s="62"/>
      <c r="C193" s="1" t="s">
        <v>368</v>
      </c>
      <c r="D193" s="1">
        <f t="shared" si="3"/>
        <v>189</v>
      </c>
      <c r="E193" s="1" t="s">
        <v>374</v>
      </c>
      <c r="F193" s="1" t="s">
        <v>362</v>
      </c>
      <c r="G193" s="1" t="s">
        <v>90</v>
      </c>
      <c r="H193" s="1" t="s">
        <v>64</v>
      </c>
      <c r="I193" s="1" t="s">
        <v>147</v>
      </c>
      <c r="J193" s="1" t="s">
        <v>66</v>
      </c>
      <c r="K193" s="1"/>
      <c r="L193" s="1" t="s">
        <v>77</v>
      </c>
      <c r="M193" s="1"/>
      <c r="N193" s="1"/>
      <c r="O193" s="1"/>
      <c r="P193" s="1"/>
      <c r="Q193" s="1"/>
      <c r="R193" s="1"/>
      <c r="S193" s="1"/>
      <c r="T193" s="1"/>
      <c r="U193" s="4"/>
      <c r="V193" s="1" t="s">
        <v>163</v>
      </c>
      <c r="W193" s="1" t="s">
        <v>215</v>
      </c>
      <c r="X193" s="1" t="s">
        <v>81</v>
      </c>
      <c r="Y193" s="1"/>
      <c r="Z193" s="1"/>
      <c r="AA193" s="6">
        <v>44958</v>
      </c>
      <c r="AB193" s="1"/>
      <c r="AC193" s="1"/>
      <c r="AD193" s="1"/>
      <c r="AE193" s="1"/>
      <c r="AF193" s="2"/>
      <c r="AG193" s="2">
        <v>3</v>
      </c>
      <c r="AH193" s="2"/>
      <c r="AI193" s="2"/>
      <c r="AJ193" s="2"/>
      <c r="AK193" s="2"/>
      <c r="AL193" s="2"/>
      <c r="AM193" s="2"/>
      <c r="AN193" s="1"/>
      <c r="AO193" s="1"/>
      <c r="AP193" s="2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9" customHeight="1" x14ac:dyDescent="0.3">
      <c r="A194" s="5"/>
      <c r="B194" s="1" t="s">
        <v>39</v>
      </c>
      <c r="C194" s="1"/>
      <c r="D194" s="1">
        <f t="shared" si="3"/>
        <v>190</v>
      </c>
      <c r="E194" s="1" t="s">
        <v>375</v>
      </c>
      <c r="F194" s="1" t="s">
        <v>39</v>
      </c>
      <c r="G194" s="1"/>
      <c r="H194" s="1" t="s">
        <v>162</v>
      </c>
      <c r="I194" s="1"/>
      <c r="J194" s="1" t="s">
        <v>66</v>
      </c>
      <c r="K194" s="1"/>
      <c r="L194" s="1" t="s">
        <v>77</v>
      </c>
      <c r="M194" s="1"/>
      <c r="N194" s="1"/>
      <c r="O194" s="1"/>
      <c r="P194" s="1"/>
      <c r="Q194" s="1"/>
      <c r="R194" s="1"/>
      <c r="S194" s="1"/>
      <c r="T194" s="1"/>
      <c r="U194" s="4"/>
      <c r="V194" s="1" t="s">
        <v>70</v>
      </c>
      <c r="W194" s="1"/>
      <c r="X194" s="1"/>
      <c r="Y194" s="1"/>
      <c r="Z194" s="1"/>
      <c r="AA194" s="1"/>
      <c r="AB194" s="1"/>
      <c r="AC194" s="1"/>
      <c r="AD194" s="1"/>
      <c r="AE194" s="1"/>
      <c r="AF194" s="2"/>
      <c r="AG194" s="2"/>
      <c r="AH194" s="2"/>
      <c r="AI194" s="2"/>
      <c r="AJ194" s="2"/>
      <c r="AK194" s="2"/>
      <c r="AL194" s="2"/>
      <c r="AM194" s="2"/>
      <c r="AN194" s="1"/>
      <c r="AO194" s="1"/>
      <c r="AP194" s="2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9" customHeight="1" x14ac:dyDescent="0.3">
      <c r="A195" s="5"/>
      <c r="B195" s="62" t="s">
        <v>376</v>
      </c>
      <c r="C195" s="1" t="s">
        <v>377</v>
      </c>
      <c r="D195" s="1">
        <f t="shared" si="3"/>
        <v>191</v>
      </c>
      <c r="E195" s="1" t="s">
        <v>378</v>
      </c>
      <c r="F195" s="1" t="s">
        <v>376</v>
      </c>
      <c r="G195" s="1" t="s">
        <v>76</v>
      </c>
      <c r="H195" s="1" t="s">
        <v>64</v>
      </c>
      <c r="I195" s="1" t="s">
        <v>147</v>
      </c>
      <c r="J195" s="1" t="s">
        <v>66</v>
      </c>
      <c r="K195" s="1"/>
      <c r="L195" s="1" t="s">
        <v>77</v>
      </c>
      <c r="M195" s="1"/>
      <c r="N195" s="1"/>
      <c r="O195" s="1"/>
      <c r="P195" s="1"/>
      <c r="Q195" s="1"/>
      <c r="R195" s="1"/>
      <c r="S195" s="1"/>
      <c r="T195" s="1"/>
      <c r="U195" s="4" t="s">
        <v>379</v>
      </c>
      <c r="V195" s="1" t="s">
        <v>79</v>
      </c>
      <c r="W195" s="1" t="s">
        <v>80</v>
      </c>
      <c r="X195" s="1" t="s">
        <v>81</v>
      </c>
      <c r="Y195" s="1"/>
      <c r="Z195" s="1"/>
      <c r="AA195" s="1"/>
      <c r="AB195" s="1"/>
      <c r="AC195" s="1"/>
      <c r="AD195" s="1"/>
      <c r="AE195" s="1"/>
      <c r="AF195" s="2"/>
      <c r="AG195" s="2"/>
      <c r="AH195" s="2"/>
      <c r="AI195" s="2"/>
      <c r="AJ195" s="2"/>
      <c r="AK195" s="2"/>
      <c r="AL195" s="2"/>
      <c r="AM195" s="2"/>
      <c r="AN195" s="1"/>
      <c r="AO195" s="1"/>
      <c r="AP195" s="2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9" customHeight="1" x14ac:dyDescent="0.3">
      <c r="A196" s="5"/>
      <c r="B196" s="62"/>
      <c r="C196" s="1" t="s">
        <v>377</v>
      </c>
      <c r="D196" s="1">
        <f t="shared" si="3"/>
        <v>192</v>
      </c>
      <c r="E196" s="1" t="s">
        <v>380</v>
      </c>
      <c r="F196" s="1" t="s">
        <v>376</v>
      </c>
      <c r="G196" s="1" t="s">
        <v>76</v>
      </c>
      <c r="H196" s="1" t="s">
        <v>64</v>
      </c>
      <c r="I196" s="1" t="s">
        <v>147</v>
      </c>
      <c r="J196" s="1" t="s">
        <v>66</v>
      </c>
      <c r="K196" s="1"/>
      <c r="L196" s="1" t="s">
        <v>77</v>
      </c>
      <c r="M196" s="1"/>
      <c r="N196" s="1"/>
      <c r="O196" s="1"/>
      <c r="P196" s="1"/>
      <c r="Q196" s="1"/>
      <c r="R196" s="1"/>
      <c r="S196" s="1"/>
      <c r="T196" s="1"/>
      <c r="U196" s="4" t="s">
        <v>381</v>
      </c>
      <c r="V196" s="1" t="s">
        <v>79</v>
      </c>
      <c r="W196" s="1" t="s">
        <v>80</v>
      </c>
      <c r="X196" s="1" t="s">
        <v>81</v>
      </c>
      <c r="Y196" s="1"/>
      <c r="Z196" s="1"/>
      <c r="AA196" s="1"/>
      <c r="AB196" s="1"/>
      <c r="AC196" s="1"/>
      <c r="AD196" s="1"/>
      <c r="AE196" s="1"/>
      <c r="AF196" s="2"/>
      <c r="AG196" s="2"/>
      <c r="AH196" s="2"/>
      <c r="AI196" s="2"/>
      <c r="AJ196" s="2"/>
      <c r="AK196" s="2"/>
      <c r="AL196" s="2"/>
      <c r="AM196" s="2"/>
      <c r="AN196" s="1"/>
      <c r="AO196" s="1"/>
      <c r="AP196" s="2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9" customHeight="1" x14ac:dyDescent="0.3">
      <c r="A197" s="5"/>
      <c r="B197" s="62"/>
      <c r="C197" s="1" t="s">
        <v>377</v>
      </c>
      <c r="D197" s="1">
        <f t="shared" ref="D197:D262" si="5">ROW()-4</f>
        <v>193</v>
      </c>
      <c r="E197" s="1" t="s">
        <v>382</v>
      </c>
      <c r="F197" s="1" t="s">
        <v>376</v>
      </c>
      <c r="G197" s="1" t="s">
        <v>76</v>
      </c>
      <c r="H197" s="1" t="s">
        <v>64</v>
      </c>
      <c r="I197" s="1" t="s">
        <v>147</v>
      </c>
      <c r="J197" s="1" t="s">
        <v>66</v>
      </c>
      <c r="K197" s="1"/>
      <c r="L197" s="1" t="s">
        <v>77</v>
      </c>
      <c r="M197" s="1"/>
      <c r="N197" s="1"/>
      <c r="O197" s="1"/>
      <c r="P197" s="1"/>
      <c r="Q197" s="1"/>
      <c r="R197" s="1"/>
      <c r="S197" s="1"/>
      <c r="T197" s="1"/>
      <c r="U197" s="4" t="s">
        <v>383</v>
      </c>
      <c r="V197" s="1" t="s">
        <v>79</v>
      </c>
      <c r="W197" s="1" t="s">
        <v>80</v>
      </c>
      <c r="X197" s="1" t="s">
        <v>81</v>
      </c>
      <c r="Y197" s="1"/>
      <c r="Z197" s="1"/>
      <c r="AA197" s="1"/>
      <c r="AB197" s="1"/>
      <c r="AC197" s="1"/>
      <c r="AD197" s="1"/>
      <c r="AE197" s="1"/>
      <c r="AF197" s="2"/>
      <c r="AG197" s="2"/>
      <c r="AH197" s="2"/>
      <c r="AI197" s="2"/>
      <c r="AJ197" s="2"/>
      <c r="AK197" s="2"/>
      <c r="AL197" s="2"/>
      <c r="AM197" s="2"/>
      <c r="AN197" s="1"/>
      <c r="AO197" s="1"/>
      <c r="AP197" s="2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9" customHeight="1" x14ac:dyDescent="0.3">
      <c r="A198" s="5"/>
      <c r="B198" s="62"/>
      <c r="C198" s="1" t="s">
        <v>377</v>
      </c>
      <c r="D198" s="1">
        <f t="shared" si="5"/>
        <v>194</v>
      </c>
      <c r="E198" s="1" t="s">
        <v>384</v>
      </c>
      <c r="F198" s="1" t="s">
        <v>376</v>
      </c>
      <c r="G198" s="1" t="s">
        <v>76</v>
      </c>
      <c r="H198" s="1" t="s">
        <v>64</v>
      </c>
      <c r="I198" s="1" t="s">
        <v>147</v>
      </c>
      <c r="J198" s="1" t="s">
        <v>66</v>
      </c>
      <c r="K198" s="1"/>
      <c r="L198" s="1" t="s">
        <v>77</v>
      </c>
      <c r="M198" s="1"/>
      <c r="N198" s="1"/>
      <c r="O198" s="1"/>
      <c r="P198" s="1"/>
      <c r="Q198" s="1"/>
      <c r="R198" s="1"/>
      <c r="S198" s="1"/>
      <c r="T198" s="1"/>
      <c r="U198" s="4" t="s">
        <v>385</v>
      </c>
      <c r="V198" s="1" t="s">
        <v>79</v>
      </c>
      <c r="W198" s="1" t="s">
        <v>80</v>
      </c>
      <c r="X198" s="1" t="s">
        <v>81</v>
      </c>
      <c r="Y198" s="1"/>
      <c r="Z198" s="1"/>
      <c r="AA198" s="1"/>
      <c r="AB198" s="1"/>
      <c r="AC198" s="1"/>
      <c r="AD198" s="1"/>
      <c r="AE198" s="1"/>
      <c r="AF198" s="2"/>
      <c r="AG198" s="2"/>
      <c r="AH198" s="2"/>
      <c r="AI198" s="2"/>
      <c r="AJ198" s="2"/>
      <c r="AK198" s="2"/>
      <c r="AL198" s="2"/>
      <c r="AM198" s="2"/>
      <c r="AN198" s="1"/>
      <c r="AO198" s="1"/>
      <c r="AP198" s="2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9" customHeight="1" x14ac:dyDescent="0.3">
      <c r="A199" s="5"/>
      <c r="B199" s="62"/>
      <c r="C199" s="1" t="s">
        <v>377</v>
      </c>
      <c r="D199" s="1">
        <f t="shared" si="5"/>
        <v>195</v>
      </c>
      <c r="E199" s="1" t="s">
        <v>386</v>
      </c>
      <c r="F199" s="1" t="s">
        <v>376</v>
      </c>
      <c r="G199" s="1" t="s">
        <v>76</v>
      </c>
      <c r="H199" s="1" t="s">
        <v>64</v>
      </c>
      <c r="I199" s="1" t="s">
        <v>147</v>
      </c>
      <c r="J199" s="1" t="s">
        <v>66</v>
      </c>
      <c r="K199" s="1"/>
      <c r="L199" s="1" t="s">
        <v>77</v>
      </c>
      <c r="M199" s="1"/>
      <c r="N199" s="1"/>
      <c r="O199" s="1"/>
      <c r="P199" s="1"/>
      <c r="Q199" s="1"/>
      <c r="R199" s="1"/>
      <c r="S199" s="1"/>
      <c r="T199" s="1"/>
      <c r="U199" s="4" t="s">
        <v>387</v>
      </c>
      <c r="V199" s="1" t="s">
        <v>79</v>
      </c>
      <c r="W199" s="1" t="s">
        <v>80</v>
      </c>
      <c r="X199" s="1" t="s">
        <v>81</v>
      </c>
      <c r="Y199" s="1"/>
      <c r="Z199" s="1"/>
      <c r="AA199" s="1"/>
      <c r="AB199" s="1"/>
      <c r="AC199" s="1"/>
      <c r="AD199" s="1"/>
      <c r="AE199" s="1"/>
      <c r="AF199" s="2"/>
      <c r="AG199" s="2"/>
      <c r="AH199" s="2"/>
      <c r="AI199" s="2"/>
      <c r="AJ199" s="2"/>
      <c r="AK199" s="2"/>
      <c r="AL199" s="2"/>
      <c r="AM199" s="2"/>
      <c r="AN199" s="1"/>
      <c r="AO199" s="1"/>
      <c r="AP199" s="2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9" customHeight="1" x14ac:dyDescent="0.3">
      <c r="A200" s="5"/>
      <c r="B200" s="62"/>
      <c r="C200" s="1" t="s">
        <v>377</v>
      </c>
      <c r="D200" s="1">
        <f t="shared" si="5"/>
        <v>196</v>
      </c>
      <c r="E200" s="1" t="s">
        <v>388</v>
      </c>
      <c r="F200" s="1" t="s">
        <v>376</v>
      </c>
      <c r="G200" s="1" t="s">
        <v>76</v>
      </c>
      <c r="H200" s="1" t="s">
        <v>64</v>
      </c>
      <c r="I200" s="1" t="s">
        <v>147</v>
      </c>
      <c r="J200" s="1" t="s">
        <v>66</v>
      </c>
      <c r="K200" s="1"/>
      <c r="L200" s="1" t="s">
        <v>77</v>
      </c>
      <c r="M200" s="1"/>
      <c r="N200" s="1"/>
      <c r="O200" s="1"/>
      <c r="P200" s="1"/>
      <c r="Q200" s="1"/>
      <c r="R200" s="1"/>
      <c r="S200" s="1"/>
      <c r="T200" s="1"/>
      <c r="U200" s="4" t="s">
        <v>389</v>
      </c>
      <c r="V200" s="1" t="s">
        <v>79</v>
      </c>
      <c r="W200" s="1" t="s">
        <v>80</v>
      </c>
      <c r="X200" s="1" t="s">
        <v>81</v>
      </c>
      <c r="Y200" s="1"/>
      <c r="Z200" s="1"/>
      <c r="AA200" s="1"/>
      <c r="AB200" s="1"/>
      <c r="AC200" s="1"/>
      <c r="AD200" s="1"/>
      <c r="AE200" s="1"/>
      <c r="AF200" s="2"/>
      <c r="AG200" s="2"/>
      <c r="AH200" s="2"/>
      <c r="AI200" s="2"/>
      <c r="AJ200" s="2"/>
      <c r="AK200" s="2"/>
      <c r="AL200" s="2"/>
      <c r="AM200" s="2"/>
      <c r="AN200" s="1"/>
      <c r="AO200" s="1"/>
      <c r="AP200" s="2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9" customHeight="1" x14ac:dyDescent="0.3">
      <c r="A201" s="5"/>
      <c r="B201" s="62"/>
      <c r="C201" s="1" t="s">
        <v>377</v>
      </c>
      <c r="D201" s="1">
        <f t="shared" si="5"/>
        <v>197</v>
      </c>
      <c r="E201" s="1" t="s">
        <v>390</v>
      </c>
      <c r="F201" s="1" t="s">
        <v>376</v>
      </c>
      <c r="G201" s="1" t="s">
        <v>76</v>
      </c>
      <c r="H201" s="1" t="s">
        <v>64</v>
      </c>
      <c r="I201" s="1" t="s">
        <v>147</v>
      </c>
      <c r="J201" s="1" t="s">
        <v>66</v>
      </c>
      <c r="K201" s="1"/>
      <c r="L201" s="1" t="s">
        <v>77</v>
      </c>
      <c r="M201" s="1"/>
      <c r="N201" s="1"/>
      <c r="O201" s="1"/>
      <c r="P201" s="1"/>
      <c r="Q201" s="1"/>
      <c r="R201" s="1"/>
      <c r="S201" s="1"/>
      <c r="T201" s="1"/>
      <c r="U201" s="4" t="s">
        <v>391</v>
      </c>
      <c r="V201" s="1" t="s">
        <v>79</v>
      </c>
      <c r="W201" s="1" t="s">
        <v>80</v>
      </c>
      <c r="X201" s="1" t="s">
        <v>81</v>
      </c>
      <c r="Y201" s="1"/>
      <c r="Z201" s="1"/>
      <c r="AA201" s="1"/>
      <c r="AB201" s="1"/>
      <c r="AC201" s="1"/>
      <c r="AD201" s="1"/>
      <c r="AE201" s="1"/>
      <c r="AF201" s="2"/>
      <c r="AG201" s="2"/>
      <c r="AH201" s="2"/>
      <c r="AI201" s="2"/>
      <c r="AJ201" s="2"/>
      <c r="AK201" s="2"/>
      <c r="AL201" s="2"/>
      <c r="AM201" s="2"/>
      <c r="AN201" s="1"/>
      <c r="AO201" s="1"/>
      <c r="AP201" s="2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9" customHeight="1" x14ac:dyDescent="0.3">
      <c r="A202" s="5"/>
      <c r="B202" s="62"/>
      <c r="C202" s="1" t="s">
        <v>377</v>
      </c>
      <c r="D202" s="1">
        <f t="shared" si="5"/>
        <v>198</v>
      </c>
      <c r="E202" s="1" t="s">
        <v>392</v>
      </c>
      <c r="F202" s="1" t="s">
        <v>376</v>
      </c>
      <c r="G202" s="1" t="s">
        <v>76</v>
      </c>
      <c r="H202" s="1" t="s">
        <v>64</v>
      </c>
      <c r="I202" s="1" t="s">
        <v>147</v>
      </c>
      <c r="J202" s="1" t="s">
        <v>66</v>
      </c>
      <c r="K202" s="1"/>
      <c r="L202" s="1" t="s">
        <v>77</v>
      </c>
      <c r="M202" s="1"/>
      <c r="N202" s="1"/>
      <c r="O202" s="1"/>
      <c r="P202" s="1"/>
      <c r="Q202" s="1"/>
      <c r="R202" s="1"/>
      <c r="S202" s="1"/>
      <c r="T202" s="1"/>
      <c r="U202" s="4" t="s">
        <v>393</v>
      </c>
      <c r="V202" s="1" t="s">
        <v>79</v>
      </c>
      <c r="W202" s="1" t="s">
        <v>80</v>
      </c>
      <c r="X202" s="1" t="s">
        <v>81</v>
      </c>
      <c r="Y202" s="1"/>
      <c r="Z202" s="1"/>
      <c r="AA202" s="1"/>
      <c r="AB202" s="1"/>
      <c r="AC202" s="1"/>
      <c r="AD202" s="1"/>
      <c r="AE202" s="1"/>
      <c r="AF202" s="2"/>
      <c r="AG202" s="2"/>
      <c r="AH202" s="2"/>
      <c r="AI202" s="2"/>
      <c r="AJ202" s="2"/>
      <c r="AK202" s="2"/>
      <c r="AL202" s="2"/>
      <c r="AM202" s="2"/>
      <c r="AN202" s="1"/>
      <c r="AO202" s="1"/>
      <c r="AP202" s="2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9" customHeight="1" x14ac:dyDescent="0.3">
      <c r="A203" s="5"/>
      <c r="B203" s="62"/>
      <c r="C203" s="1" t="s">
        <v>394</v>
      </c>
      <c r="D203" s="1">
        <f t="shared" si="5"/>
        <v>199</v>
      </c>
      <c r="E203" s="1" t="s">
        <v>323</v>
      </c>
      <c r="F203" s="1" t="s">
        <v>376</v>
      </c>
      <c r="G203" s="1" t="s">
        <v>83</v>
      </c>
      <c r="H203" s="1" t="s">
        <v>64</v>
      </c>
      <c r="I203" s="1" t="s">
        <v>65</v>
      </c>
      <c r="J203" s="1" t="s">
        <v>66</v>
      </c>
      <c r="K203" s="1"/>
      <c r="L203" s="1" t="s">
        <v>77</v>
      </c>
      <c r="M203" s="1"/>
      <c r="N203" s="1"/>
      <c r="O203" s="1"/>
      <c r="P203" s="1"/>
      <c r="Q203" s="1"/>
      <c r="R203" s="1"/>
      <c r="S203" s="1"/>
      <c r="T203" s="1"/>
      <c r="U203" s="4" t="s">
        <v>395</v>
      </c>
      <c r="V203" s="1" t="s">
        <v>79</v>
      </c>
      <c r="W203" s="1" t="s">
        <v>80</v>
      </c>
      <c r="X203" s="1" t="s">
        <v>81</v>
      </c>
      <c r="Y203" s="1"/>
      <c r="Z203" s="1"/>
      <c r="AA203" s="3">
        <v>44874</v>
      </c>
      <c r="AB203" s="1"/>
      <c r="AC203" s="1"/>
      <c r="AD203" s="1"/>
      <c r="AE203" s="1"/>
      <c r="AF203" s="2"/>
      <c r="AG203" s="1">
        <v>3</v>
      </c>
      <c r="AH203" s="3">
        <f>AA203+1</f>
        <v>44875</v>
      </c>
      <c r="AI203" s="3">
        <f>AH203+AG203</f>
        <v>44878</v>
      </c>
      <c r="AJ203" s="2"/>
      <c r="AK203" s="2"/>
      <c r="AL203" s="2"/>
      <c r="AM203" s="2"/>
      <c r="AN203" s="1"/>
      <c r="AO203" s="1"/>
      <c r="AP203" s="2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9" customHeight="1" x14ac:dyDescent="0.3">
      <c r="A204" s="5"/>
      <c r="B204" s="62"/>
      <c r="C204" s="1" t="s">
        <v>377</v>
      </c>
      <c r="D204" s="1">
        <f t="shared" si="5"/>
        <v>200</v>
      </c>
      <c r="E204" s="1" t="s">
        <v>396</v>
      </c>
      <c r="F204" s="1" t="s">
        <v>376</v>
      </c>
      <c r="G204" s="1" t="s">
        <v>83</v>
      </c>
      <c r="H204" s="1" t="s">
        <v>64</v>
      </c>
      <c r="I204" s="1" t="s">
        <v>65</v>
      </c>
      <c r="J204" s="1" t="s">
        <v>66</v>
      </c>
      <c r="K204" s="1"/>
      <c r="L204" s="1" t="s">
        <v>77</v>
      </c>
      <c r="M204" s="1"/>
      <c r="N204" s="1"/>
      <c r="O204" s="1"/>
      <c r="P204" s="1"/>
      <c r="Q204" s="1"/>
      <c r="R204" s="1"/>
      <c r="S204" s="1"/>
      <c r="T204" s="1"/>
      <c r="U204" s="4" t="s">
        <v>397</v>
      </c>
      <c r="V204" s="1" t="s">
        <v>79</v>
      </c>
      <c r="W204" s="1" t="s">
        <v>80</v>
      </c>
      <c r="X204" s="1" t="s">
        <v>81</v>
      </c>
      <c r="Y204" s="1"/>
      <c r="Z204" s="1"/>
      <c r="AA204" s="1"/>
      <c r="AB204" s="1"/>
      <c r="AC204" s="1"/>
      <c r="AD204" s="1"/>
      <c r="AE204" s="1"/>
      <c r="AF204" s="2"/>
      <c r="AG204" s="2"/>
      <c r="AH204" s="2"/>
      <c r="AI204" s="2"/>
      <c r="AJ204" s="2"/>
      <c r="AK204" s="2"/>
      <c r="AL204" s="2"/>
      <c r="AM204" s="2"/>
      <c r="AN204" s="1"/>
      <c r="AO204" s="1"/>
      <c r="AP204" s="2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9" customHeight="1" x14ac:dyDescent="0.3">
      <c r="A205" s="5"/>
      <c r="B205" s="62"/>
      <c r="C205" s="1" t="s">
        <v>394</v>
      </c>
      <c r="D205" s="1">
        <f t="shared" si="5"/>
        <v>201</v>
      </c>
      <c r="E205" s="1" t="s">
        <v>398</v>
      </c>
      <c r="F205" s="1" t="s">
        <v>376</v>
      </c>
      <c r="G205" s="1"/>
      <c r="H205" s="1"/>
      <c r="I205" s="1"/>
      <c r="J205" s="1" t="s">
        <v>66</v>
      </c>
      <c r="K205" s="1"/>
      <c r="L205" s="1" t="s">
        <v>77</v>
      </c>
      <c r="M205" s="1"/>
      <c r="N205" s="1"/>
      <c r="O205" s="1"/>
      <c r="P205" s="1"/>
      <c r="Q205" s="1"/>
      <c r="R205" s="1"/>
      <c r="S205" s="1"/>
      <c r="T205" s="1"/>
      <c r="U205" s="4"/>
      <c r="V205" s="1" t="s">
        <v>88</v>
      </c>
      <c r="W205" s="1"/>
      <c r="X205" s="1"/>
      <c r="Y205" s="1"/>
      <c r="Z205" s="1"/>
      <c r="AA205" s="1"/>
      <c r="AB205" s="1"/>
      <c r="AC205" s="1"/>
      <c r="AD205" s="1"/>
      <c r="AE205" s="1"/>
      <c r="AF205" s="2"/>
      <c r="AG205" s="2"/>
      <c r="AH205" s="2"/>
      <c r="AI205" s="2"/>
      <c r="AJ205" s="2"/>
      <c r="AK205" s="2"/>
      <c r="AL205" s="2"/>
      <c r="AM205" s="2"/>
      <c r="AN205" s="1"/>
      <c r="AO205" s="1"/>
      <c r="AP205" s="2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9" customHeight="1" x14ac:dyDescent="0.3">
      <c r="A206" s="5"/>
      <c r="B206" s="62"/>
      <c r="C206" s="1" t="s">
        <v>399</v>
      </c>
      <c r="D206" s="1">
        <f t="shared" si="5"/>
        <v>202</v>
      </c>
      <c r="E206" s="1" t="s">
        <v>400</v>
      </c>
      <c r="F206" s="1" t="s">
        <v>376</v>
      </c>
      <c r="G206" s="1" t="s">
        <v>83</v>
      </c>
      <c r="H206" s="1" t="s">
        <v>64</v>
      </c>
      <c r="I206" s="1" t="s">
        <v>65</v>
      </c>
      <c r="J206" s="1" t="s">
        <v>66</v>
      </c>
      <c r="K206" s="1"/>
      <c r="L206" s="1" t="s">
        <v>77</v>
      </c>
      <c r="M206" s="1"/>
      <c r="N206" s="1"/>
      <c r="O206" s="1"/>
      <c r="P206" s="1"/>
      <c r="Q206" s="1"/>
      <c r="R206" s="1"/>
      <c r="S206" s="1"/>
      <c r="T206" s="1"/>
      <c r="U206" s="4" t="s">
        <v>401</v>
      </c>
      <c r="V206" s="1" t="s">
        <v>79</v>
      </c>
      <c r="W206" s="1" t="s">
        <v>80</v>
      </c>
      <c r="X206" s="1" t="s">
        <v>81</v>
      </c>
      <c r="Y206" s="1"/>
      <c r="Z206" s="1"/>
      <c r="AA206" s="3">
        <v>44887</v>
      </c>
      <c r="AB206" s="1"/>
      <c r="AC206" s="1"/>
      <c r="AD206" s="1"/>
      <c r="AE206" s="1"/>
      <c r="AF206" s="2"/>
      <c r="AG206" s="1">
        <v>3</v>
      </c>
      <c r="AH206" s="3">
        <f t="shared" ref="AH206:AH218" si="6">AA206+1</f>
        <v>44888</v>
      </c>
      <c r="AI206" s="3">
        <f t="shared" ref="AI206:AI218" si="7">AH206+AG206</f>
        <v>44891</v>
      </c>
      <c r="AJ206" s="2"/>
      <c r="AK206" s="2"/>
      <c r="AL206" s="2"/>
      <c r="AM206" s="2"/>
      <c r="AN206" s="1"/>
      <c r="AO206" s="1"/>
      <c r="AP206" s="2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9" customHeight="1" x14ac:dyDescent="0.3">
      <c r="A207" s="5"/>
      <c r="B207" s="62"/>
      <c r="C207" s="1" t="s">
        <v>394</v>
      </c>
      <c r="D207" s="1">
        <f t="shared" si="5"/>
        <v>203</v>
      </c>
      <c r="E207" s="1" t="s">
        <v>402</v>
      </c>
      <c r="F207" s="1" t="s">
        <v>376</v>
      </c>
      <c r="G207" s="1" t="s">
        <v>83</v>
      </c>
      <c r="H207" s="1" t="s">
        <v>64</v>
      </c>
      <c r="I207" s="1" t="s">
        <v>65</v>
      </c>
      <c r="J207" s="1" t="s">
        <v>66</v>
      </c>
      <c r="K207" s="1"/>
      <c r="L207" s="1" t="s">
        <v>77</v>
      </c>
      <c r="M207" s="1"/>
      <c r="N207" s="1"/>
      <c r="O207" s="1"/>
      <c r="P207" s="1"/>
      <c r="Q207" s="1"/>
      <c r="R207" s="1"/>
      <c r="S207" s="1"/>
      <c r="T207" s="1"/>
      <c r="U207" s="4" t="s">
        <v>403</v>
      </c>
      <c r="V207" s="1" t="s">
        <v>79</v>
      </c>
      <c r="W207" s="1" t="s">
        <v>80</v>
      </c>
      <c r="X207" s="1" t="s">
        <v>81</v>
      </c>
      <c r="Y207" s="1"/>
      <c r="Z207" s="1"/>
      <c r="AA207" s="3">
        <v>44880</v>
      </c>
      <c r="AB207" s="1"/>
      <c r="AC207" s="1"/>
      <c r="AD207" s="1"/>
      <c r="AE207" s="1"/>
      <c r="AF207" s="2"/>
      <c r="AG207" s="1">
        <v>3</v>
      </c>
      <c r="AH207" s="3">
        <f t="shared" si="6"/>
        <v>44881</v>
      </c>
      <c r="AI207" s="3">
        <f t="shared" si="7"/>
        <v>44884</v>
      </c>
      <c r="AJ207" s="2"/>
      <c r="AK207" s="2"/>
      <c r="AL207" s="2"/>
      <c r="AM207" s="2"/>
      <c r="AN207" s="1"/>
      <c r="AO207" s="1"/>
      <c r="AP207" s="2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9" customHeight="1" x14ac:dyDescent="0.3">
      <c r="A208" s="5"/>
      <c r="B208" s="62"/>
      <c r="C208" s="1" t="s">
        <v>394</v>
      </c>
      <c r="D208" s="1">
        <f t="shared" si="5"/>
        <v>204</v>
      </c>
      <c r="E208" s="1" t="s">
        <v>404</v>
      </c>
      <c r="F208" s="1" t="s">
        <v>376</v>
      </c>
      <c r="G208" s="1" t="s">
        <v>83</v>
      </c>
      <c r="H208" s="1" t="s">
        <v>64</v>
      </c>
      <c r="I208" s="1" t="s">
        <v>65</v>
      </c>
      <c r="J208" s="1" t="s">
        <v>66</v>
      </c>
      <c r="K208" s="1"/>
      <c r="L208" s="1" t="s">
        <v>77</v>
      </c>
      <c r="M208" s="1"/>
      <c r="N208" s="1"/>
      <c r="O208" s="1"/>
      <c r="P208" s="1"/>
      <c r="Q208" s="1"/>
      <c r="R208" s="1"/>
      <c r="S208" s="1"/>
      <c r="T208" s="1"/>
      <c r="U208" s="4" t="s">
        <v>405</v>
      </c>
      <c r="V208" s="1" t="s">
        <v>79</v>
      </c>
      <c r="W208" s="1" t="s">
        <v>80</v>
      </c>
      <c r="X208" s="1" t="s">
        <v>81</v>
      </c>
      <c r="Y208" s="1"/>
      <c r="Z208" s="1"/>
      <c r="AA208" s="3">
        <v>44880</v>
      </c>
      <c r="AB208" s="1"/>
      <c r="AC208" s="1"/>
      <c r="AD208" s="1"/>
      <c r="AE208" s="1"/>
      <c r="AF208" s="2"/>
      <c r="AG208" s="1">
        <v>3</v>
      </c>
      <c r="AH208" s="3">
        <f t="shared" si="6"/>
        <v>44881</v>
      </c>
      <c r="AI208" s="3">
        <f t="shared" si="7"/>
        <v>44884</v>
      </c>
      <c r="AJ208" s="2"/>
      <c r="AK208" s="2"/>
      <c r="AL208" s="2"/>
      <c r="AM208" s="2"/>
      <c r="AN208" s="1"/>
      <c r="AO208" s="1"/>
      <c r="AP208" s="2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9" customHeight="1" x14ac:dyDescent="0.3">
      <c r="A209" s="5"/>
      <c r="B209" s="62"/>
      <c r="C209" s="1" t="s">
        <v>377</v>
      </c>
      <c r="D209" s="1">
        <f t="shared" si="5"/>
        <v>205</v>
      </c>
      <c r="E209" s="1" t="s">
        <v>406</v>
      </c>
      <c r="F209" s="1" t="s">
        <v>376</v>
      </c>
      <c r="G209" s="1" t="s">
        <v>83</v>
      </c>
      <c r="H209" s="1" t="s">
        <v>64</v>
      </c>
      <c r="I209" s="1" t="s">
        <v>65</v>
      </c>
      <c r="J209" s="1" t="s">
        <v>66</v>
      </c>
      <c r="K209" s="1"/>
      <c r="L209" s="1" t="s">
        <v>77</v>
      </c>
      <c r="M209" s="1"/>
      <c r="N209" s="1"/>
      <c r="O209" s="1"/>
      <c r="P209" s="1"/>
      <c r="Q209" s="1"/>
      <c r="R209" s="1"/>
      <c r="S209" s="1"/>
      <c r="T209" s="1"/>
      <c r="U209" s="4" t="s">
        <v>407</v>
      </c>
      <c r="V209" s="1" t="s">
        <v>79</v>
      </c>
      <c r="W209" s="1" t="s">
        <v>80</v>
      </c>
      <c r="X209" s="1" t="s">
        <v>81</v>
      </c>
      <c r="Y209" s="1"/>
      <c r="Z209" s="1"/>
      <c r="AA209" s="3">
        <v>44887</v>
      </c>
      <c r="AB209" s="1"/>
      <c r="AC209" s="1"/>
      <c r="AD209" s="1"/>
      <c r="AE209" s="1"/>
      <c r="AF209" s="2"/>
      <c r="AG209" s="1">
        <v>3</v>
      </c>
      <c r="AH209" s="3">
        <f t="shared" si="6"/>
        <v>44888</v>
      </c>
      <c r="AI209" s="3">
        <f t="shared" si="7"/>
        <v>44891</v>
      </c>
      <c r="AJ209" s="2"/>
      <c r="AK209" s="2"/>
      <c r="AL209" s="2"/>
      <c r="AM209" s="2"/>
      <c r="AN209" s="1"/>
      <c r="AO209" s="1"/>
      <c r="AP209" s="2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9" customHeight="1" x14ac:dyDescent="0.3">
      <c r="A210" s="5"/>
      <c r="B210" s="62"/>
      <c r="C210" s="1" t="s">
        <v>394</v>
      </c>
      <c r="D210" s="1">
        <f t="shared" si="5"/>
        <v>206</v>
      </c>
      <c r="E210" s="1" t="s">
        <v>408</v>
      </c>
      <c r="F210" s="1" t="s">
        <v>376</v>
      </c>
      <c r="G210" s="1" t="s">
        <v>83</v>
      </c>
      <c r="H210" s="1" t="s">
        <v>64</v>
      </c>
      <c r="I210" s="1" t="s">
        <v>65</v>
      </c>
      <c r="J210" s="1" t="s">
        <v>66</v>
      </c>
      <c r="K210" s="1"/>
      <c r="L210" s="1" t="s">
        <v>77</v>
      </c>
      <c r="M210" s="1"/>
      <c r="N210" s="1"/>
      <c r="O210" s="1"/>
      <c r="P210" s="1"/>
      <c r="Q210" s="1"/>
      <c r="R210" s="1"/>
      <c r="S210" s="1"/>
      <c r="T210" s="1"/>
      <c r="U210" s="4" t="s">
        <v>409</v>
      </c>
      <c r="V210" s="1" t="s">
        <v>79</v>
      </c>
      <c r="W210" s="1" t="s">
        <v>80</v>
      </c>
      <c r="X210" s="1" t="s">
        <v>81</v>
      </c>
      <c r="Y210" s="1"/>
      <c r="Z210" s="1"/>
      <c r="AA210" s="3">
        <v>44880</v>
      </c>
      <c r="AB210" s="1"/>
      <c r="AC210" s="1"/>
      <c r="AD210" s="1"/>
      <c r="AE210" s="1"/>
      <c r="AF210" s="2"/>
      <c r="AG210" s="1">
        <v>3</v>
      </c>
      <c r="AH210" s="3">
        <f t="shared" si="6"/>
        <v>44881</v>
      </c>
      <c r="AI210" s="3">
        <f t="shared" si="7"/>
        <v>44884</v>
      </c>
      <c r="AJ210" s="2"/>
      <c r="AK210" s="2"/>
      <c r="AL210" s="2"/>
      <c r="AM210" s="2"/>
      <c r="AN210" s="1"/>
      <c r="AO210" s="1"/>
      <c r="AP210" s="2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9" customHeight="1" x14ac:dyDescent="0.3">
      <c r="A211" s="5"/>
      <c r="B211" s="62"/>
      <c r="C211" s="1" t="s">
        <v>377</v>
      </c>
      <c r="D211" s="1">
        <f t="shared" si="5"/>
        <v>207</v>
      </c>
      <c r="E211" s="1" t="s">
        <v>410</v>
      </c>
      <c r="F211" s="1" t="s">
        <v>376</v>
      </c>
      <c r="G211" s="1" t="s">
        <v>83</v>
      </c>
      <c r="H211" s="1" t="s">
        <v>64</v>
      </c>
      <c r="I211" s="1" t="s">
        <v>65</v>
      </c>
      <c r="J211" s="1" t="s">
        <v>66</v>
      </c>
      <c r="K211" s="1"/>
      <c r="L211" s="1" t="s">
        <v>77</v>
      </c>
      <c r="M211" s="1"/>
      <c r="N211" s="1"/>
      <c r="O211" s="1"/>
      <c r="P211" s="1"/>
      <c r="Q211" s="1"/>
      <c r="R211" s="1"/>
      <c r="S211" s="1"/>
      <c r="T211" s="1"/>
      <c r="U211" s="4" t="s">
        <v>411</v>
      </c>
      <c r="V211" s="1" t="s">
        <v>79</v>
      </c>
      <c r="W211" s="1" t="s">
        <v>80</v>
      </c>
      <c r="X211" s="1" t="s">
        <v>81</v>
      </c>
      <c r="Y211" s="1"/>
      <c r="Z211" s="1"/>
      <c r="AA211" s="3">
        <v>44887</v>
      </c>
      <c r="AB211" s="1"/>
      <c r="AC211" s="1"/>
      <c r="AD211" s="1"/>
      <c r="AE211" s="1"/>
      <c r="AF211" s="2"/>
      <c r="AG211" s="1">
        <v>3</v>
      </c>
      <c r="AH211" s="3">
        <f t="shared" si="6"/>
        <v>44888</v>
      </c>
      <c r="AI211" s="3">
        <f t="shared" si="7"/>
        <v>44891</v>
      </c>
      <c r="AJ211" s="2"/>
      <c r="AK211" s="2"/>
      <c r="AL211" s="2"/>
      <c r="AM211" s="2"/>
      <c r="AN211" s="1"/>
      <c r="AO211" s="1"/>
      <c r="AP211" s="2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9" customHeight="1" x14ac:dyDescent="0.3">
      <c r="A212" s="5"/>
      <c r="B212" s="62"/>
      <c r="C212" s="1" t="s">
        <v>377</v>
      </c>
      <c r="D212" s="1">
        <f t="shared" si="5"/>
        <v>208</v>
      </c>
      <c r="E212" s="1" t="s">
        <v>412</v>
      </c>
      <c r="F212" s="1" t="s">
        <v>376</v>
      </c>
      <c r="G212" s="1" t="s">
        <v>83</v>
      </c>
      <c r="H212" s="1" t="s">
        <v>64</v>
      </c>
      <c r="I212" s="1" t="s">
        <v>65</v>
      </c>
      <c r="J212" s="1" t="s">
        <v>66</v>
      </c>
      <c r="K212" s="1"/>
      <c r="L212" s="1" t="s">
        <v>77</v>
      </c>
      <c r="M212" s="1"/>
      <c r="N212" s="1"/>
      <c r="O212" s="1"/>
      <c r="P212" s="1"/>
      <c r="Q212" s="1"/>
      <c r="R212" s="1"/>
      <c r="S212" s="1"/>
      <c r="T212" s="1"/>
      <c r="U212" s="4" t="s">
        <v>413</v>
      </c>
      <c r="V212" s="1" t="s">
        <v>79</v>
      </c>
      <c r="W212" s="1" t="s">
        <v>80</v>
      </c>
      <c r="X212" s="1" t="s">
        <v>81</v>
      </c>
      <c r="Y212" s="1"/>
      <c r="Z212" s="1"/>
      <c r="AA212" s="3">
        <v>44874</v>
      </c>
      <c r="AB212" s="1"/>
      <c r="AC212" s="1"/>
      <c r="AD212" s="1"/>
      <c r="AE212" s="1"/>
      <c r="AF212" s="2"/>
      <c r="AG212" s="1">
        <v>3</v>
      </c>
      <c r="AH212" s="3">
        <f t="shared" si="6"/>
        <v>44875</v>
      </c>
      <c r="AI212" s="3">
        <f t="shared" si="7"/>
        <v>44878</v>
      </c>
      <c r="AJ212" s="2"/>
      <c r="AK212" s="2"/>
      <c r="AL212" s="2"/>
      <c r="AM212" s="2"/>
      <c r="AN212" s="1"/>
      <c r="AO212" s="1"/>
      <c r="AP212" s="2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9" customHeight="1" x14ac:dyDescent="0.3">
      <c r="A213" s="5"/>
      <c r="B213" s="62"/>
      <c r="C213" s="1" t="s">
        <v>377</v>
      </c>
      <c r="D213" s="1">
        <f t="shared" si="5"/>
        <v>209</v>
      </c>
      <c r="E213" s="1" t="s">
        <v>414</v>
      </c>
      <c r="F213" s="1" t="s">
        <v>376</v>
      </c>
      <c r="G213" s="1" t="s">
        <v>83</v>
      </c>
      <c r="H213" s="1" t="s">
        <v>64</v>
      </c>
      <c r="I213" s="1" t="s">
        <v>65</v>
      </c>
      <c r="J213" s="1" t="s">
        <v>66</v>
      </c>
      <c r="K213" s="1"/>
      <c r="L213" s="1" t="s">
        <v>77</v>
      </c>
      <c r="M213" s="1"/>
      <c r="N213" s="1"/>
      <c r="O213" s="1"/>
      <c r="P213" s="1"/>
      <c r="Q213" s="1"/>
      <c r="R213" s="1"/>
      <c r="S213" s="1"/>
      <c r="T213" s="1"/>
      <c r="U213" s="4" t="s">
        <v>415</v>
      </c>
      <c r="V213" s="1" t="s">
        <v>79</v>
      </c>
      <c r="W213" s="1" t="s">
        <v>80</v>
      </c>
      <c r="X213" s="1" t="s">
        <v>81</v>
      </c>
      <c r="Y213" s="1"/>
      <c r="Z213" s="1"/>
      <c r="AA213" s="3">
        <v>44874</v>
      </c>
      <c r="AB213" s="1"/>
      <c r="AC213" s="1"/>
      <c r="AD213" s="1"/>
      <c r="AE213" s="1"/>
      <c r="AF213" s="2"/>
      <c r="AG213" s="1">
        <v>3</v>
      </c>
      <c r="AH213" s="3">
        <f t="shared" si="6"/>
        <v>44875</v>
      </c>
      <c r="AI213" s="3">
        <f t="shared" si="7"/>
        <v>44878</v>
      </c>
      <c r="AJ213" s="2"/>
      <c r="AK213" s="2"/>
      <c r="AL213" s="2"/>
      <c r="AM213" s="2"/>
      <c r="AN213" s="1"/>
      <c r="AO213" s="1"/>
      <c r="AP213" s="2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9" customHeight="1" x14ac:dyDescent="0.3">
      <c r="A214" s="5"/>
      <c r="B214" s="62"/>
      <c r="C214" s="1" t="s">
        <v>377</v>
      </c>
      <c r="D214" s="1">
        <f t="shared" si="5"/>
        <v>210</v>
      </c>
      <c r="E214" s="1" t="s">
        <v>416</v>
      </c>
      <c r="F214" s="1" t="s">
        <v>376</v>
      </c>
      <c r="G214" s="1" t="s">
        <v>90</v>
      </c>
      <c r="H214" s="1" t="s">
        <v>64</v>
      </c>
      <c r="I214" s="1" t="s">
        <v>65</v>
      </c>
      <c r="J214" s="1" t="s">
        <v>66</v>
      </c>
      <c r="K214" s="1"/>
      <c r="L214" s="1" t="s">
        <v>77</v>
      </c>
      <c r="M214" s="1"/>
      <c r="N214" s="1"/>
      <c r="O214" s="1"/>
      <c r="P214" s="1"/>
      <c r="Q214" s="1"/>
      <c r="R214" s="1"/>
      <c r="S214" s="1"/>
      <c r="T214" s="1"/>
      <c r="U214" s="4" t="s">
        <v>417</v>
      </c>
      <c r="V214" s="1" t="s">
        <v>79</v>
      </c>
      <c r="W214" s="1" t="s">
        <v>80</v>
      </c>
      <c r="X214" s="1" t="s">
        <v>81</v>
      </c>
      <c r="Y214" s="1"/>
      <c r="Z214" s="1"/>
      <c r="AA214" s="3">
        <v>44887</v>
      </c>
      <c r="AB214" s="1"/>
      <c r="AC214" s="1"/>
      <c r="AD214" s="1"/>
      <c r="AE214" s="1"/>
      <c r="AF214" s="2"/>
      <c r="AG214" s="1">
        <v>3</v>
      </c>
      <c r="AH214" s="3">
        <f t="shared" si="6"/>
        <v>44888</v>
      </c>
      <c r="AI214" s="3">
        <f t="shared" si="7"/>
        <v>44891</v>
      </c>
      <c r="AJ214" s="2"/>
      <c r="AK214" s="2"/>
      <c r="AL214" s="2"/>
      <c r="AM214" s="2"/>
      <c r="AN214" s="1"/>
      <c r="AO214" s="1"/>
      <c r="AP214" s="2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9" customHeight="1" x14ac:dyDescent="0.3">
      <c r="A215" s="5"/>
      <c r="B215" s="62"/>
      <c r="C215" s="1" t="s">
        <v>377</v>
      </c>
      <c r="D215" s="1">
        <f t="shared" si="5"/>
        <v>211</v>
      </c>
      <c r="E215" s="1" t="s">
        <v>418</v>
      </c>
      <c r="F215" s="1" t="s">
        <v>376</v>
      </c>
      <c r="G215" s="1" t="s">
        <v>83</v>
      </c>
      <c r="H215" s="1" t="s">
        <v>64</v>
      </c>
      <c r="I215" s="1" t="s">
        <v>65</v>
      </c>
      <c r="J215" s="1" t="s">
        <v>66</v>
      </c>
      <c r="K215" s="1"/>
      <c r="L215" s="1" t="s">
        <v>77</v>
      </c>
      <c r="M215" s="1"/>
      <c r="N215" s="1"/>
      <c r="O215" s="1"/>
      <c r="P215" s="1"/>
      <c r="Q215" s="1"/>
      <c r="R215" s="1"/>
      <c r="S215" s="1"/>
      <c r="T215" s="1"/>
      <c r="U215" s="4" t="s">
        <v>419</v>
      </c>
      <c r="V215" s="1" t="s">
        <v>79</v>
      </c>
      <c r="W215" s="1" t="s">
        <v>80</v>
      </c>
      <c r="X215" s="1" t="s">
        <v>81</v>
      </c>
      <c r="Y215" s="1"/>
      <c r="Z215" s="1"/>
      <c r="AA215" s="3">
        <v>44880</v>
      </c>
      <c r="AB215" s="1"/>
      <c r="AC215" s="1"/>
      <c r="AD215" s="1"/>
      <c r="AE215" s="1"/>
      <c r="AF215" s="2"/>
      <c r="AG215" s="1">
        <v>3</v>
      </c>
      <c r="AH215" s="3">
        <f t="shared" si="6"/>
        <v>44881</v>
      </c>
      <c r="AI215" s="3">
        <f t="shared" si="7"/>
        <v>44884</v>
      </c>
      <c r="AJ215" s="2"/>
      <c r="AK215" s="2"/>
      <c r="AL215" s="2"/>
      <c r="AM215" s="2"/>
      <c r="AN215" s="1"/>
      <c r="AO215" s="1"/>
      <c r="AP215" s="2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9" customHeight="1" x14ac:dyDescent="0.3">
      <c r="A216" s="5"/>
      <c r="B216" s="62"/>
      <c r="C216" s="1" t="s">
        <v>394</v>
      </c>
      <c r="D216" s="1">
        <f t="shared" si="5"/>
        <v>212</v>
      </c>
      <c r="E216" s="1" t="s">
        <v>420</v>
      </c>
      <c r="F216" s="1" t="s">
        <v>376</v>
      </c>
      <c r="G216" s="1" t="s">
        <v>90</v>
      </c>
      <c r="H216" s="1" t="s">
        <v>64</v>
      </c>
      <c r="I216" s="1" t="s">
        <v>65</v>
      </c>
      <c r="J216" s="1" t="s">
        <v>66</v>
      </c>
      <c r="K216" s="1"/>
      <c r="L216" s="1" t="s">
        <v>77</v>
      </c>
      <c r="M216" s="1"/>
      <c r="N216" s="1"/>
      <c r="O216" s="1"/>
      <c r="P216" s="1"/>
      <c r="Q216" s="1"/>
      <c r="R216" s="1"/>
      <c r="S216" s="1"/>
      <c r="T216" s="1"/>
      <c r="U216" s="4"/>
      <c r="V216" s="1" t="s">
        <v>79</v>
      </c>
      <c r="W216" s="1" t="s">
        <v>80</v>
      </c>
      <c r="X216" s="1" t="s">
        <v>81</v>
      </c>
      <c r="Y216" s="1"/>
      <c r="Z216" s="1"/>
      <c r="AA216" s="3">
        <v>44887</v>
      </c>
      <c r="AB216" s="1"/>
      <c r="AC216" s="1"/>
      <c r="AD216" s="1"/>
      <c r="AE216" s="1"/>
      <c r="AF216" s="2"/>
      <c r="AG216" s="1">
        <v>3</v>
      </c>
      <c r="AH216" s="3">
        <f t="shared" si="6"/>
        <v>44888</v>
      </c>
      <c r="AI216" s="3">
        <f t="shared" si="7"/>
        <v>44891</v>
      </c>
      <c r="AJ216" s="2"/>
      <c r="AK216" s="2"/>
      <c r="AL216" s="2"/>
      <c r="AM216" s="2"/>
      <c r="AN216" s="1"/>
      <c r="AO216" s="1"/>
      <c r="AP216" s="2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9" customHeight="1" x14ac:dyDescent="0.3">
      <c r="A217" s="5"/>
      <c r="B217" s="62"/>
      <c r="C217" s="1" t="s">
        <v>394</v>
      </c>
      <c r="D217" s="1">
        <f t="shared" si="5"/>
        <v>213</v>
      </c>
      <c r="E217" s="1" t="s">
        <v>421</v>
      </c>
      <c r="F217" s="1" t="s">
        <v>376</v>
      </c>
      <c r="G217" s="1" t="s">
        <v>90</v>
      </c>
      <c r="H217" s="1" t="s">
        <v>64</v>
      </c>
      <c r="I217" s="1" t="s">
        <v>65</v>
      </c>
      <c r="J217" s="1" t="s">
        <v>66</v>
      </c>
      <c r="K217" s="1"/>
      <c r="L217" s="1" t="s">
        <v>77</v>
      </c>
      <c r="M217" s="1"/>
      <c r="N217" s="1"/>
      <c r="O217" s="1"/>
      <c r="P217" s="1"/>
      <c r="Q217" s="1"/>
      <c r="R217" s="1"/>
      <c r="S217" s="1"/>
      <c r="T217" s="1"/>
      <c r="U217" s="4" t="s">
        <v>422</v>
      </c>
      <c r="V217" s="1" t="s">
        <v>79</v>
      </c>
      <c r="W217" s="1" t="s">
        <v>80</v>
      </c>
      <c r="X217" s="1" t="s">
        <v>81</v>
      </c>
      <c r="Y217" s="1"/>
      <c r="Z217" s="1"/>
      <c r="AA217" s="3">
        <v>44894</v>
      </c>
      <c r="AB217" s="1"/>
      <c r="AC217" s="1"/>
      <c r="AD217" s="1"/>
      <c r="AE217" s="1"/>
      <c r="AF217" s="2"/>
      <c r="AG217" s="1">
        <v>3</v>
      </c>
      <c r="AH217" s="3">
        <f t="shared" si="6"/>
        <v>44895</v>
      </c>
      <c r="AI217" s="3">
        <f t="shared" si="7"/>
        <v>44898</v>
      </c>
      <c r="AJ217" s="2"/>
      <c r="AK217" s="2"/>
      <c r="AL217" s="2"/>
      <c r="AM217" s="2"/>
      <c r="AN217" s="1"/>
      <c r="AO217" s="1"/>
      <c r="AP217" s="2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9" customHeight="1" x14ac:dyDescent="0.3">
      <c r="A218" s="5"/>
      <c r="B218" s="62"/>
      <c r="C218" s="1" t="s">
        <v>423</v>
      </c>
      <c r="D218" s="1">
        <f t="shared" si="5"/>
        <v>214</v>
      </c>
      <c r="E218" s="1" t="s">
        <v>323</v>
      </c>
      <c r="F218" s="1" t="s">
        <v>376</v>
      </c>
      <c r="G218" s="1" t="s">
        <v>83</v>
      </c>
      <c r="H218" s="1" t="s">
        <v>64</v>
      </c>
      <c r="I218" s="1" t="s">
        <v>65</v>
      </c>
      <c r="J218" s="1" t="s">
        <v>66</v>
      </c>
      <c r="K218" s="1"/>
      <c r="L218" s="1" t="s">
        <v>77</v>
      </c>
      <c r="M218" s="1"/>
      <c r="N218" s="1"/>
      <c r="O218" s="1"/>
      <c r="P218" s="1"/>
      <c r="Q218" s="1"/>
      <c r="R218" s="1"/>
      <c r="S218" s="1"/>
      <c r="T218" s="1"/>
      <c r="U218" s="4" t="s">
        <v>424</v>
      </c>
      <c r="V218" s="1" t="s">
        <v>79</v>
      </c>
      <c r="W218" s="1" t="s">
        <v>80</v>
      </c>
      <c r="X218" s="1" t="s">
        <v>81</v>
      </c>
      <c r="Y218" s="1"/>
      <c r="Z218" s="1"/>
      <c r="AA218" s="3">
        <v>44874</v>
      </c>
      <c r="AB218" s="1"/>
      <c r="AC218" s="1"/>
      <c r="AD218" s="1"/>
      <c r="AE218" s="1"/>
      <c r="AF218" s="2"/>
      <c r="AG218" s="1">
        <v>3</v>
      </c>
      <c r="AH218" s="3">
        <f t="shared" si="6"/>
        <v>44875</v>
      </c>
      <c r="AI218" s="3">
        <f t="shared" si="7"/>
        <v>44878</v>
      </c>
      <c r="AJ218" s="2"/>
      <c r="AK218" s="2"/>
      <c r="AL218" s="2"/>
      <c r="AM218" s="2"/>
      <c r="AN218" s="1"/>
      <c r="AO218" s="1"/>
      <c r="AP218" s="2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9" customHeight="1" x14ac:dyDescent="0.3">
      <c r="A219" s="5"/>
      <c r="B219" s="62"/>
      <c r="C219" s="1" t="s">
        <v>423</v>
      </c>
      <c r="D219" s="1">
        <f t="shared" si="5"/>
        <v>215</v>
      </c>
      <c r="E219" s="1" t="s">
        <v>425</v>
      </c>
      <c r="F219" s="1" t="s">
        <v>376</v>
      </c>
      <c r="G219" s="1" t="s">
        <v>76</v>
      </c>
      <c r="H219" s="1" t="s">
        <v>64</v>
      </c>
      <c r="I219" s="1" t="s">
        <v>147</v>
      </c>
      <c r="J219" s="1" t="s">
        <v>66</v>
      </c>
      <c r="K219" s="1"/>
      <c r="L219" s="1" t="s">
        <v>77</v>
      </c>
      <c r="M219" s="1"/>
      <c r="N219" s="1"/>
      <c r="O219" s="1"/>
      <c r="P219" s="1"/>
      <c r="Q219" s="1"/>
      <c r="R219" s="1"/>
      <c r="S219" s="1"/>
      <c r="T219" s="1"/>
      <c r="U219" s="4" t="s">
        <v>426</v>
      </c>
      <c r="V219" s="1" t="s">
        <v>79</v>
      </c>
      <c r="W219" s="1" t="s">
        <v>80</v>
      </c>
      <c r="X219" s="1" t="s">
        <v>81</v>
      </c>
      <c r="Y219" s="1"/>
      <c r="Z219" s="1"/>
      <c r="AA219" s="1"/>
      <c r="AB219" s="1"/>
      <c r="AC219" s="1"/>
      <c r="AD219" s="1"/>
      <c r="AE219" s="1"/>
      <c r="AF219" s="2"/>
      <c r="AG219" s="2"/>
      <c r="AH219" s="2"/>
      <c r="AI219" s="2"/>
      <c r="AJ219" s="2"/>
      <c r="AK219" s="2"/>
      <c r="AL219" s="2"/>
      <c r="AM219" s="2"/>
      <c r="AN219" s="1"/>
      <c r="AO219" s="1"/>
      <c r="AP219" s="2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9" customHeight="1" x14ac:dyDescent="0.3">
      <c r="A220" s="5"/>
      <c r="B220" s="62"/>
      <c r="C220" s="1" t="s">
        <v>399</v>
      </c>
      <c r="D220" s="1">
        <f t="shared" si="5"/>
        <v>216</v>
      </c>
      <c r="E220" s="1" t="s">
        <v>427</v>
      </c>
      <c r="F220" s="1" t="s">
        <v>376</v>
      </c>
      <c r="G220" s="1" t="s">
        <v>90</v>
      </c>
      <c r="H220" s="1" t="s">
        <v>64</v>
      </c>
      <c r="I220" s="1" t="s">
        <v>65</v>
      </c>
      <c r="J220" s="1" t="s">
        <v>66</v>
      </c>
      <c r="K220" s="1"/>
      <c r="L220" s="1" t="s">
        <v>77</v>
      </c>
      <c r="M220" s="1"/>
      <c r="N220" s="1"/>
      <c r="O220" s="1"/>
      <c r="P220" s="1"/>
      <c r="Q220" s="1"/>
      <c r="R220" s="1"/>
      <c r="S220" s="1"/>
      <c r="T220" s="1"/>
      <c r="U220" s="4" t="s">
        <v>428</v>
      </c>
      <c r="V220" s="1" t="s">
        <v>79</v>
      </c>
      <c r="W220" s="1" t="s">
        <v>80</v>
      </c>
      <c r="X220" s="1" t="s">
        <v>81</v>
      </c>
      <c r="Y220" s="1"/>
      <c r="Z220" s="1"/>
      <c r="AA220" s="3">
        <v>44894</v>
      </c>
      <c r="AB220" s="1"/>
      <c r="AC220" s="1"/>
      <c r="AD220" s="1"/>
      <c r="AE220" s="1"/>
      <c r="AF220" s="2"/>
      <c r="AG220" s="1">
        <v>3</v>
      </c>
      <c r="AH220" s="3">
        <f>AA220+1</f>
        <v>44895</v>
      </c>
      <c r="AI220" s="3">
        <f>AH220+AG220</f>
        <v>44898</v>
      </c>
      <c r="AJ220" s="2"/>
      <c r="AK220" s="2"/>
      <c r="AL220" s="2"/>
      <c r="AM220" s="2"/>
      <c r="AN220" s="1"/>
      <c r="AO220" s="1"/>
      <c r="AP220" s="2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9" customHeight="1" x14ac:dyDescent="0.3">
      <c r="A221" s="5"/>
      <c r="B221" s="62"/>
      <c r="C221" s="1" t="s">
        <v>377</v>
      </c>
      <c r="D221" s="1">
        <f t="shared" si="5"/>
        <v>217</v>
      </c>
      <c r="E221" s="1" t="s">
        <v>429</v>
      </c>
      <c r="F221" s="1" t="s">
        <v>376</v>
      </c>
      <c r="G221" s="1" t="s">
        <v>83</v>
      </c>
      <c r="H221" s="1" t="s">
        <v>64</v>
      </c>
      <c r="I221" s="1" t="s">
        <v>65</v>
      </c>
      <c r="J221" s="1" t="s">
        <v>66</v>
      </c>
      <c r="K221" s="1"/>
      <c r="L221" s="1" t="s">
        <v>77</v>
      </c>
      <c r="M221" s="1"/>
      <c r="N221" s="1"/>
      <c r="O221" s="1"/>
      <c r="P221" s="1"/>
      <c r="Q221" s="1"/>
      <c r="R221" s="1"/>
      <c r="S221" s="1"/>
      <c r="T221" s="1"/>
      <c r="U221" s="4" t="s">
        <v>430</v>
      </c>
      <c r="V221" s="1" t="s">
        <v>79</v>
      </c>
      <c r="W221" s="1" t="s">
        <v>80</v>
      </c>
      <c r="X221" s="1" t="s">
        <v>81</v>
      </c>
      <c r="Y221" s="1"/>
      <c r="Z221" s="1"/>
      <c r="AA221" s="3">
        <v>44887</v>
      </c>
      <c r="AB221" s="1"/>
      <c r="AC221" s="1"/>
      <c r="AD221" s="1"/>
      <c r="AE221" s="1"/>
      <c r="AF221" s="2"/>
      <c r="AG221" s="1">
        <v>3</v>
      </c>
      <c r="AH221" s="3">
        <f>AA221+1</f>
        <v>44888</v>
      </c>
      <c r="AI221" s="3">
        <f>AH221+AG221</f>
        <v>44891</v>
      </c>
      <c r="AJ221" s="2"/>
      <c r="AK221" s="2"/>
      <c r="AL221" s="2"/>
      <c r="AM221" s="2"/>
      <c r="AN221" s="1"/>
      <c r="AO221" s="1"/>
      <c r="AP221" s="2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9" customHeight="1" x14ac:dyDescent="0.3">
      <c r="A222" s="5"/>
      <c r="B222" s="62"/>
      <c r="C222" s="1" t="s">
        <v>394</v>
      </c>
      <c r="D222" s="1">
        <f t="shared" si="5"/>
        <v>218</v>
      </c>
      <c r="E222" s="1" t="s">
        <v>431</v>
      </c>
      <c r="F222" s="1" t="s">
        <v>376</v>
      </c>
      <c r="G222" s="1" t="s">
        <v>83</v>
      </c>
      <c r="H222" s="1" t="s">
        <v>64</v>
      </c>
      <c r="I222" s="1" t="s">
        <v>65</v>
      </c>
      <c r="J222" s="1" t="s">
        <v>66</v>
      </c>
      <c r="K222" s="1"/>
      <c r="L222" s="1" t="s">
        <v>77</v>
      </c>
      <c r="M222" s="1"/>
      <c r="N222" s="1"/>
      <c r="O222" s="1"/>
      <c r="P222" s="1"/>
      <c r="Q222" s="1"/>
      <c r="R222" s="1"/>
      <c r="S222" s="1"/>
      <c r="T222" s="1"/>
      <c r="U222" s="4" t="s">
        <v>432</v>
      </c>
      <c r="V222" s="1" t="s">
        <v>79</v>
      </c>
      <c r="W222" s="1" t="s">
        <v>80</v>
      </c>
      <c r="X222" s="1" t="s">
        <v>81</v>
      </c>
      <c r="Y222" s="1"/>
      <c r="Z222" s="1"/>
      <c r="AA222" s="3">
        <v>44880</v>
      </c>
      <c r="AB222" s="1"/>
      <c r="AC222" s="1"/>
      <c r="AD222" s="1"/>
      <c r="AE222" s="1"/>
      <c r="AF222" s="2"/>
      <c r="AG222" s="1">
        <v>3</v>
      </c>
      <c r="AH222" s="3">
        <f>AA222+1</f>
        <v>44881</v>
      </c>
      <c r="AI222" s="3">
        <f>AH222+AG222</f>
        <v>44884</v>
      </c>
      <c r="AJ222" s="2"/>
      <c r="AK222" s="2"/>
      <c r="AL222" s="2"/>
      <c r="AM222" s="2"/>
      <c r="AN222" s="1"/>
      <c r="AO222" s="1"/>
      <c r="AP222" s="2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9" customHeight="1" x14ac:dyDescent="0.3">
      <c r="A223" s="5"/>
      <c r="B223" s="62"/>
      <c r="C223" s="1" t="s">
        <v>423</v>
      </c>
      <c r="D223" s="1">
        <f t="shared" si="5"/>
        <v>219</v>
      </c>
      <c r="E223" s="1" t="s">
        <v>433</v>
      </c>
      <c r="F223" s="1" t="s">
        <v>376</v>
      </c>
      <c r="G223" s="1" t="s">
        <v>76</v>
      </c>
      <c r="H223" s="1" t="s">
        <v>64</v>
      </c>
      <c r="I223" s="1" t="s">
        <v>147</v>
      </c>
      <c r="J223" s="1" t="s">
        <v>66</v>
      </c>
      <c r="K223" s="1"/>
      <c r="L223" s="1" t="s">
        <v>77</v>
      </c>
      <c r="M223" s="1"/>
      <c r="N223" s="1"/>
      <c r="O223" s="1"/>
      <c r="P223" s="1"/>
      <c r="Q223" s="1"/>
      <c r="R223" s="1"/>
      <c r="S223" s="1"/>
      <c r="T223" s="1"/>
      <c r="U223" s="4"/>
      <c r="V223" s="1" t="s">
        <v>79</v>
      </c>
      <c r="W223" s="1" t="s">
        <v>80</v>
      </c>
      <c r="X223" s="1" t="s">
        <v>81</v>
      </c>
      <c r="Y223" s="1"/>
      <c r="Z223" s="1"/>
      <c r="AA223" s="1"/>
      <c r="AB223" s="1"/>
      <c r="AC223" s="1"/>
      <c r="AD223" s="1"/>
      <c r="AE223" s="1"/>
      <c r="AF223" s="2"/>
      <c r="AG223" s="2"/>
      <c r="AH223" s="2"/>
      <c r="AI223" s="2"/>
      <c r="AJ223" s="2"/>
      <c r="AK223" s="2"/>
      <c r="AL223" s="2"/>
      <c r="AM223" s="2"/>
      <c r="AN223" s="1"/>
      <c r="AO223" s="1"/>
      <c r="AP223" s="2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9" customHeight="1" x14ac:dyDescent="0.3">
      <c r="A224" s="5"/>
      <c r="B224" s="62"/>
      <c r="C224" s="1" t="s">
        <v>394</v>
      </c>
      <c r="D224" s="1">
        <f t="shared" si="5"/>
        <v>220</v>
      </c>
      <c r="E224" s="1" t="s">
        <v>434</v>
      </c>
      <c r="F224" s="1" t="s">
        <v>376</v>
      </c>
      <c r="G224" s="1" t="s">
        <v>83</v>
      </c>
      <c r="H224" s="1" t="s">
        <v>64</v>
      </c>
      <c r="I224" s="1" t="s">
        <v>65</v>
      </c>
      <c r="J224" s="1" t="s">
        <v>66</v>
      </c>
      <c r="K224" s="1"/>
      <c r="L224" s="1" t="s">
        <v>77</v>
      </c>
      <c r="M224" s="1"/>
      <c r="N224" s="1"/>
      <c r="O224" s="1"/>
      <c r="P224" s="1"/>
      <c r="Q224" s="1"/>
      <c r="R224" s="1"/>
      <c r="S224" s="1"/>
      <c r="T224" s="1"/>
      <c r="U224" s="4" t="s">
        <v>435</v>
      </c>
      <c r="V224" s="1" t="s">
        <v>79</v>
      </c>
      <c r="W224" s="1" t="s">
        <v>80</v>
      </c>
      <c r="X224" s="1" t="s">
        <v>81</v>
      </c>
      <c r="Y224" s="1"/>
      <c r="Z224" s="1"/>
      <c r="AA224" s="3">
        <v>44880</v>
      </c>
      <c r="AB224" s="1"/>
      <c r="AC224" s="1"/>
      <c r="AD224" s="1"/>
      <c r="AE224" s="1"/>
      <c r="AF224" s="2"/>
      <c r="AG224" s="1">
        <v>3</v>
      </c>
      <c r="AH224" s="3">
        <f>AA224+1</f>
        <v>44881</v>
      </c>
      <c r="AI224" s="3">
        <f>AH224+AG224</f>
        <v>44884</v>
      </c>
      <c r="AJ224" s="2"/>
      <c r="AK224" s="2"/>
      <c r="AL224" s="2"/>
      <c r="AM224" s="2"/>
      <c r="AN224" s="1"/>
      <c r="AO224" s="1"/>
      <c r="AP224" s="2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9" customHeight="1" x14ac:dyDescent="0.3">
      <c r="A225" s="5"/>
      <c r="B225" s="62"/>
      <c r="C225" s="1" t="s">
        <v>394</v>
      </c>
      <c r="D225" s="1">
        <f t="shared" si="5"/>
        <v>221</v>
      </c>
      <c r="E225" s="1" t="s">
        <v>436</v>
      </c>
      <c r="F225" s="1" t="s">
        <v>376</v>
      </c>
      <c r="G225" s="1" t="s">
        <v>83</v>
      </c>
      <c r="H225" s="1" t="s">
        <v>64</v>
      </c>
      <c r="I225" s="1" t="s">
        <v>65</v>
      </c>
      <c r="J225" s="1" t="s">
        <v>66</v>
      </c>
      <c r="K225" s="1"/>
      <c r="L225" s="1" t="s">
        <v>77</v>
      </c>
      <c r="M225" s="1"/>
      <c r="N225" s="1"/>
      <c r="O225" s="1"/>
      <c r="P225" s="1"/>
      <c r="Q225" s="1"/>
      <c r="R225" s="1"/>
      <c r="S225" s="1"/>
      <c r="T225" s="1"/>
      <c r="U225" s="4" t="s">
        <v>437</v>
      </c>
      <c r="V225" s="1" t="s">
        <v>79</v>
      </c>
      <c r="W225" s="1" t="s">
        <v>80</v>
      </c>
      <c r="X225" s="1" t="s">
        <v>81</v>
      </c>
      <c r="Y225" s="1"/>
      <c r="Z225" s="1"/>
      <c r="AA225" s="3">
        <v>44894</v>
      </c>
      <c r="AB225" s="1"/>
      <c r="AC225" s="1"/>
      <c r="AD225" s="1"/>
      <c r="AE225" s="1"/>
      <c r="AF225" s="2"/>
      <c r="AG225" s="1">
        <v>3</v>
      </c>
      <c r="AH225" s="3">
        <f>AA225+1</f>
        <v>44895</v>
      </c>
      <c r="AI225" s="3">
        <f>AH225+AG225</f>
        <v>44898</v>
      </c>
      <c r="AJ225" s="2"/>
      <c r="AK225" s="2"/>
      <c r="AL225" s="2"/>
      <c r="AM225" s="2"/>
      <c r="AN225" s="1"/>
      <c r="AO225" s="1"/>
      <c r="AP225" s="2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9" customHeight="1" x14ac:dyDescent="0.3">
      <c r="A226" s="5"/>
      <c r="B226" s="62"/>
      <c r="C226" s="1" t="s">
        <v>394</v>
      </c>
      <c r="D226" s="1">
        <f t="shared" si="5"/>
        <v>222</v>
      </c>
      <c r="E226" s="1" t="s">
        <v>438</v>
      </c>
      <c r="F226" s="1" t="s">
        <v>376</v>
      </c>
      <c r="G226" s="1" t="s">
        <v>83</v>
      </c>
      <c r="H226" s="1" t="s">
        <v>64</v>
      </c>
      <c r="I226" s="1" t="s">
        <v>65</v>
      </c>
      <c r="J226" s="1" t="s">
        <v>66</v>
      </c>
      <c r="K226" s="1"/>
      <c r="L226" s="1" t="s">
        <v>77</v>
      </c>
      <c r="M226" s="1"/>
      <c r="N226" s="1"/>
      <c r="O226" s="1"/>
      <c r="P226" s="1"/>
      <c r="Q226" s="1"/>
      <c r="R226" s="1"/>
      <c r="S226" s="1"/>
      <c r="T226" s="1"/>
      <c r="U226" s="4" t="s">
        <v>439</v>
      </c>
      <c r="V226" s="1" t="s">
        <v>79</v>
      </c>
      <c r="W226" s="1" t="s">
        <v>80</v>
      </c>
      <c r="X226" s="1" t="s">
        <v>81</v>
      </c>
      <c r="Y226" s="1"/>
      <c r="Z226" s="1"/>
      <c r="AA226" s="3">
        <v>44894</v>
      </c>
      <c r="AB226" s="1"/>
      <c r="AC226" s="1"/>
      <c r="AD226" s="1"/>
      <c r="AE226" s="1"/>
      <c r="AF226" s="2"/>
      <c r="AG226" s="1">
        <v>3</v>
      </c>
      <c r="AH226" s="3">
        <f>AA226+1</f>
        <v>44895</v>
      </c>
      <c r="AI226" s="3">
        <f>AH226+AG226</f>
        <v>44898</v>
      </c>
      <c r="AJ226" s="2"/>
      <c r="AK226" s="2"/>
      <c r="AL226" s="2"/>
      <c r="AM226" s="2"/>
      <c r="AN226" s="1"/>
      <c r="AO226" s="1"/>
      <c r="AP226" s="2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9" customHeight="1" x14ac:dyDescent="0.3">
      <c r="A227" s="5"/>
      <c r="B227" s="62"/>
      <c r="C227" s="1" t="s">
        <v>394</v>
      </c>
      <c r="D227" s="1">
        <f t="shared" si="5"/>
        <v>223</v>
      </c>
      <c r="E227" s="1" t="s">
        <v>440</v>
      </c>
      <c r="F227" s="1" t="s">
        <v>376</v>
      </c>
      <c r="G227" s="1" t="s">
        <v>76</v>
      </c>
      <c r="H227" s="1" t="s">
        <v>64</v>
      </c>
      <c r="I227" s="1" t="s">
        <v>147</v>
      </c>
      <c r="J227" s="1" t="s">
        <v>66</v>
      </c>
      <c r="K227" s="1"/>
      <c r="L227" s="1" t="s">
        <v>77</v>
      </c>
      <c r="M227" s="1"/>
      <c r="N227" s="1"/>
      <c r="O227" s="1"/>
      <c r="P227" s="1"/>
      <c r="Q227" s="1"/>
      <c r="R227" s="1"/>
      <c r="S227" s="1"/>
      <c r="T227" s="1"/>
      <c r="U227" s="4" t="s">
        <v>441</v>
      </c>
      <c r="V227" s="1" t="s">
        <v>79</v>
      </c>
      <c r="W227" s="1" t="s">
        <v>80</v>
      </c>
      <c r="X227" s="1" t="s">
        <v>81</v>
      </c>
      <c r="Y227" s="1"/>
      <c r="Z227" s="1"/>
      <c r="AA227" s="1"/>
      <c r="AB227" s="1"/>
      <c r="AC227" s="1"/>
      <c r="AD227" s="1"/>
      <c r="AE227" s="1"/>
      <c r="AF227" s="2"/>
      <c r="AG227" s="2"/>
      <c r="AH227" s="2"/>
      <c r="AI227" s="2"/>
      <c r="AJ227" s="2"/>
      <c r="AK227" s="2"/>
      <c r="AL227" s="2"/>
      <c r="AM227" s="2"/>
      <c r="AN227" s="1"/>
      <c r="AO227" s="1"/>
      <c r="AP227" s="2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9" customHeight="1" x14ac:dyDescent="0.3">
      <c r="A228" s="5"/>
      <c r="B228" s="62"/>
      <c r="C228" s="1" t="s">
        <v>394</v>
      </c>
      <c r="D228" s="1">
        <f t="shared" si="5"/>
        <v>224</v>
      </c>
      <c r="E228" s="1" t="s">
        <v>442</v>
      </c>
      <c r="F228" s="1" t="s">
        <v>376</v>
      </c>
      <c r="G228" s="1" t="s">
        <v>76</v>
      </c>
      <c r="H228" s="1" t="s">
        <v>64</v>
      </c>
      <c r="I228" s="1" t="s">
        <v>147</v>
      </c>
      <c r="J228" s="1" t="s">
        <v>66</v>
      </c>
      <c r="K228" s="1"/>
      <c r="L228" s="1" t="s">
        <v>77</v>
      </c>
      <c r="M228" s="1"/>
      <c r="N228" s="1"/>
      <c r="O228" s="1"/>
      <c r="P228" s="1"/>
      <c r="Q228" s="1"/>
      <c r="R228" s="1"/>
      <c r="S228" s="1"/>
      <c r="T228" s="1"/>
      <c r="U228" s="4" t="s">
        <v>443</v>
      </c>
      <c r="V228" s="1" t="s">
        <v>79</v>
      </c>
      <c r="W228" s="1" t="s">
        <v>80</v>
      </c>
      <c r="X228" s="1" t="s">
        <v>81</v>
      </c>
      <c r="Y228" s="1"/>
      <c r="Z228" s="1"/>
      <c r="AA228" s="1"/>
      <c r="AB228" s="1"/>
      <c r="AC228" s="1"/>
      <c r="AD228" s="1"/>
      <c r="AE228" s="1"/>
      <c r="AF228" s="2"/>
      <c r="AG228" s="2"/>
      <c r="AH228" s="2"/>
      <c r="AI228" s="2"/>
      <c r="AJ228" s="2"/>
      <c r="AK228" s="2"/>
      <c r="AL228" s="2"/>
      <c r="AM228" s="2"/>
      <c r="AN228" s="1"/>
      <c r="AO228" s="1"/>
      <c r="AP228" s="2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9" customHeight="1" x14ac:dyDescent="0.3">
      <c r="A229" s="5"/>
      <c r="B229" s="62"/>
      <c r="C229" s="1" t="s">
        <v>394</v>
      </c>
      <c r="D229" s="1">
        <f t="shared" si="5"/>
        <v>225</v>
      </c>
      <c r="E229" s="1" t="s">
        <v>444</v>
      </c>
      <c r="F229" s="1" t="s">
        <v>376</v>
      </c>
      <c r="G229" s="1" t="s">
        <v>76</v>
      </c>
      <c r="H229" s="1" t="s">
        <v>64</v>
      </c>
      <c r="I229" s="1" t="s">
        <v>147</v>
      </c>
      <c r="J229" s="1" t="s">
        <v>66</v>
      </c>
      <c r="K229" s="1"/>
      <c r="L229" s="1" t="s">
        <v>77</v>
      </c>
      <c r="M229" s="1"/>
      <c r="N229" s="1"/>
      <c r="O229" s="1"/>
      <c r="P229" s="1"/>
      <c r="Q229" s="1"/>
      <c r="R229" s="1"/>
      <c r="S229" s="1"/>
      <c r="T229" s="1"/>
      <c r="U229" s="4" t="s">
        <v>445</v>
      </c>
      <c r="V229" s="1" t="s">
        <v>79</v>
      </c>
      <c r="W229" s="1" t="s">
        <v>80</v>
      </c>
      <c r="X229" s="1" t="s">
        <v>81</v>
      </c>
      <c r="Y229" s="1"/>
      <c r="Z229" s="1"/>
      <c r="AA229" s="1"/>
      <c r="AB229" s="1"/>
      <c r="AC229" s="1"/>
      <c r="AD229" s="1"/>
      <c r="AE229" s="1"/>
      <c r="AF229" s="2"/>
      <c r="AG229" s="2"/>
      <c r="AH229" s="2"/>
      <c r="AI229" s="2"/>
      <c r="AJ229" s="2"/>
      <c r="AK229" s="2"/>
      <c r="AL229" s="2"/>
      <c r="AM229" s="2"/>
      <c r="AN229" s="1"/>
      <c r="AO229" s="1"/>
      <c r="AP229" s="2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9" customHeight="1" x14ac:dyDescent="0.3">
      <c r="A230" s="5"/>
      <c r="B230" s="62" t="s">
        <v>446</v>
      </c>
      <c r="C230" s="1"/>
      <c r="D230" s="1">
        <f t="shared" si="5"/>
        <v>226</v>
      </c>
      <c r="E230" s="1" t="s">
        <v>447</v>
      </c>
      <c r="F230" s="1" t="s">
        <v>446</v>
      </c>
      <c r="G230" s="1"/>
      <c r="H230" s="1" t="s">
        <v>64</v>
      </c>
      <c r="I230" s="1" t="s">
        <v>65</v>
      </c>
      <c r="J230" s="1" t="s">
        <v>66</v>
      </c>
      <c r="K230" s="1" t="s">
        <v>447</v>
      </c>
      <c r="L230" s="1" t="s">
        <v>77</v>
      </c>
      <c r="M230" s="1"/>
      <c r="N230" s="1"/>
      <c r="O230" s="1"/>
      <c r="P230" s="1"/>
      <c r="Q230" s="1"/>
      <c r="R230" s="1"/>
      <c r="S230" s="1"/>
      <c r="T230" s="1"/>
      <c r="U230" s="4" t="s">
        <v>448</v>
      </c>
      <c r="V230" s="1" t="s">
        <v>70</v>
      </c>
      <c r="W230" s="1"/>
      <c r="X230" s="1"/>
      <c r="Y230" s="1"/>
      <c r="Z230" s="1"/>
      <c r="AA230" s="1"/>
      <c r="AB230" s="1"/>
      <c r="AC230" s="1"/>
      <c r="AD230" s="1"/>
      <c r="AE230" s="1"/>
      <c r="AF230" s="2"/>
      <c r="AG230" s="2"/>
      <c r="AH230" s="2"/>
      <c r="AI230" s="2"/>
      <c r="AJ230" s="2"/>
      <c r="AK230" s="2"/>
      <c r="AL230" s="2"/>
      <c r="AM230" s="2"/>
      <c r="AN230" s="1"/>
      <c r="AO230" s="1"/>
      <c r="AP230" s="2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9" customHeight="1" x14ac:dyDescent="0.3">
      <c r="A231" s="5"/>
      <c r="B231" s="62"/>
      <c r="C231" s="1"/>
      <c r="D231" s="1">
        <f t="shared" si="5"/>
        <v>227</v>
      </c>
      <c r="E231" s="1" t="s">
        <v>449</v>
      </c>
      <c r="F231" s="1" t="s">
        <v>446</v>
      </c>
      <c r="G231" s="1"/>
      <c r="H231" s="1" t="s">
        <v>64</v>
      </c>
      <c r="I231" s="1" t="s">
        <v>65</v>
      </c>
      <c r="J231" s="1" t="s">
        <v>66</v>
      </c>
      <c r="K231" s="1" t="s">
        <v>449</v>
      </c>
      <c r="L231" s="1" t="s">
        <v>77</v>
      </c>
      <c r="M231" s="1"/>
      <c r="N231" s="1"/>
      <c r="O231" s="1"/>
      <c r="P231" s="1"/>
      <c r="Q231" s="1"/>
      <c r="R231" s="1"/>
      <c r="S231" s="1"/>
      <c r="T231" s="1"/>
      <c r="U231" s="4" t="s">
        <v>450</v>
      </c>
      <c r="V231" s="1" t="s">
        <v>70</v>
      </c>
      <c r="W231" s="1"/>
      <c r="X231" s="1"/>
      <c r="Y231" s="1"/>
      <c r="Z231" s="1"/>
      <c r="AA231" s="1"/>
      <c r="AB231" s="1"/>
      <c r="AC231" s="1"/>
      <c r="AD231" s="1"/>
      <c r="AE231" s="1"/>
      <c r="AF231" s="2"/>
      <c r="AG231" s="2"/>
      <c r="AH231" s="2"/>
      <c r="AI231" s="2"/>
      <c r="AJ231" s="2"/>
      <c r="AK231" s="2"/>
      <c r="AL231" s="2"/>
      <c r="AM231" s="2"/>
      <c r="AN231" s="1"/>
      <c r="AO231" s="1"/>
      <c r="AP231" s="2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9" customHeight="1" x14ac:dyDescent="0.3">
      <c r="A232" s="5"/>
      <c r="B232" s="62"/>
      <c r="C232" s="1"/>
      <c r="D232" s="1">
        <f t="shared" si="5"/>
        <v>228</v>
      </c>
      <c r="E232" s="1" t="s">
        <v>451</v>
      </c>
      <c r="F232" s="1" t="s">
        <v>446</v>
      </c>
      <c r="G232" s="1"/>
      <c r="H232" s="1" t="s">
        <v>64</v>
      </c>
      <c r="I232" s="1" t="s">
        <v>65</v>
      </c>
      <c r="J232" s="1" t="s">
        <v>66</v>
      </c>
      <c r="K232" s="1" t="s">
        <v>451</v>
      </c>
      <c r="L232" s="1" t="s">
        <v>68</v>
      </c>
      <c r="M232" s="1"/>
      <c r="N232" s="1"/>
      <c r="O232" s="1"/>
      <c r="P232" s="1"/>
      <c r="Q232" s="1"/>
      <c r="R232" s="1"/>
      <c r="S232" s="1"/>
      <c r="T232" s="1"/>
      <c r="U232" s="4" t="s">
        <v>452</v>
      </c>
      <c r="V232" s="1" t="s">
        <v>70</v>
      </c>
      <c r="W232" s="1"/>
      <c r="X232" s="1"/>
      <c r="Y232" s="1"/>
      <c r="Z232" s="1"/>
      <c r="AA232" s="1"/>
      <c r="AB232" s="1"/>
      <c r="AC232" s="1"/>
      <c r="AD232" s="1"/>
      <c r="AE232" s="1"/>
      <c r="AF232" s="2"/>
      <c r="AG232" s="2"/>
      <c r="AH232" s="2"/>
      <c r="AI232" s="2"/>
      <c r="AJ232" s="2"/>
      <c r="AK232" s="2"/>
      <c r="AL232" s="2"/>
      <c r="AM232" s="2"/>
      <c r="AN232" s="1"/>
      <c r="AO232" s="1"/>
      <c r="AP232" s="2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9" customHeight="1" x14ac:dyDescent="0.3">
      <c r="A233" s="5"/>
      <c r="B233" s="62"/>
      <c r="C233" s="1"/>
      <c r="D233" s="1">
        <f t="shared" si="5"/>
        <v>229</v>
      </c>
      <c r="E233" s="1" t="s">
        <v>453</v>
      </c>
      <c r="F233" s="1" t="s">
        <v>446</v>
      </c>
      <c r="G233" s="1"/>
      <c r="H233" s="1" t="s">
        <v>64</v>
      </c>
      <c r="I233" s="1" t="s">
        <v>147</v>
      </c>
      <c r="J233" s="1" t="s">
        <v>66</v>
      </c>
      <c r="K233" s="1" t="s">
        <v>453</v>
      </c>
      <c r="L233" s="1" t="s">
        <v>77</v>
      </c>
      <c r="M233" s="1"/>
      <c r="N233" s="1"/>
      <c r="O233" s="1"/>
      <c r="P233" s="1"/>
      <c r="Q233" s="1"/>
      <c r="R233" s="1"/>
      <c r="S233" s="1"/>
      <c r="T233" s="1"/>
      <c r="U233" s="4" t="s">
        <v>454</v>
      </c>
      <c r="V233" s="1" t="s">
        <v>70</v>
      </c>
      <c r="W233" s="1"/>
      <c r="X233" s="1"/>
      <c r="Y233" s="1"/>
      <c r="Z233" s="1"/>
      <c r="AA233" s="1"/>
      <c r="AB233" s="1"/>
      <c r="AC233" s="1"/>
      <c r="AD233" s="1"/>
      <c r="AE233" s="1"/>
      <c r="AF233" s="2"/>
      <c r="AG233" s="2"/>
      <c r="AH233" s="2"/>
      <c r="AI233" s="2"/>
      <c r="AJ233" s="2"/>
      <c r="AK233" s="2"/>
      <c r="AL233" s="2"/>
      <c r="AM233" s="2"/>
      <c r="AN233" s="1"/>
      <c r="AO233" s="1"/>
      <c r="AP233" s="2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9" customHeight="1" x14ac:dyDescent="0.3">
      <c r="A234" s="5"/>
      <c r="B234" s="62"/>
      <c r="C234" s="1"/>
      <c r="D234" s="1">
        <f t="shared" si="5"/>
        <v>230</v>
      </c>
      <c r="E234" s="1" t="s">
        <v>455</v>
      </c>
      <c r="F234" s="1" t="s">
        <v>446</v>
      </c>
      <c r="G234" s="1"/>
      <c r="H234" s="1" t="s">
        <v>64</v>
      </c>
      <c r="I234" s="1" t="s">
        <v>65</v>
      </c>
      <c r="J234" s="1" t="s">
        <v>66</v>
      </c>
      <c r="K234" s="1" t="s">
        <v>455</v>
      </c>
      <c r="L234" s="1" t="s">
        <v>77</v>
      </c>
      <c r="M234" s="1"/>
      <c r="N234" s="1"/>
      <c r="O234" s="1"/>
      <c r="P234" s="1"/>
      <c r="Q234" s="1"/>
      <c r="R234" s="1"/>
      <c r="S234" s="1"/>
      <c r="T234" s="1"/>
      <c r="U234" s="4" t="s">
        <v>456</v>
      </c>
      <c r="V234" s="1" t="s">
        <v>70</v>
      </c>
      <c r="W234" s="1"/>
      <c r="X234" s="1"/>
      <c r="Y234" s="1"/>
      <c r="Z234" s="1"/>
      <c r="AA234" s="1"/>
      <c r="AB234" s="1"/>
      <c r="AC234" s="1"/>
      <c r="AD234" s="1"/>
      <c r="AE234" s="1"/>
      <c r="AF234" s="2"/>
      <c r="AG234" s="2"/>
      <c r="AH234" s="2"/>
      <c r="AI234" s="2"/>
      <c r="AJ234" s="2"/>
      <c r="AK234" s="2"/>
      <c r="AL234" s="2"/>
      <c r="AM234" s="2"/>
      <c r="AN234" s="1"/>
      <c r="AO234" s="1"/>
      <c r="AP234" s="2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9" customHeight="1" x14ac:dyDescent="0.3">
      <c r="A235" s="5"/>
      <c r="B235" s="62"/>
      <c r="C235" s="1"/>
      <c r="D235" s="1">
        <f t="shared" si="5"/>
        <v>231</v>
      </c>
      <c r="E235" s="1" t="s">
        <v>457</v>
      </c>
      <c r="F235" s="1" t="s">
        <v>446</v>
      </c>
      <c r="G235" s="1"/>
      <c r="H235" s="1" t="s">
        <v>64</v>
      </c>
      <c r="I235" s="1" t="s">
        <v>147</v>
      </c>
      <c r="J235" s="1" t="s">
        <v>66</v>
      </c>
      <c r="K235" s="1" t="s">
        <v>457</v>
      </c>
      <c r="L235" s="1" t="s">
        <v>77</v>
      </c>
      <c r="M235" s="1"/>
      <c r="N235" s="1"/>
      <c r="O235" s="1"/>
      <c r="P235" s="1"/>
      <c r="Q235" s="1"/>
      <c r="R235" s="1"/>
      <c r="S235" s="1"/>
      <c r="T235" s="1"/>
      <c r="U235" s="4" t="s">
        <v>458</v>
      </c>
      <c r="V235" s="1" t="s">
        <v>70</v>
      </c>
      <c r="W235" s="1"/>
      <c r="X235" s="1"/>
      <c r="Y235" s="1"/>
      <c r="Z235" s="1"/>
      <c r="AA235" s="1"/>
      <c r="AB235" s="1"/>
      <c r="AC235" s="1"/>
      <c r="AD235" s="1"/>
      <c r="AE235" s="1"/>
      <c r="AF235" s="2"/>
      <c r="AG235" s="2"/>
      <c r="AH235" s="2"/>
      <c r="AI235" s="2"/>
      <c r="AJ235" s="2"/>
      <c r="AK235" s="2"/>
      <c r="AL235" s="2"/>
      <c r="AM235" s="2"/>
      <c r="AN235" s="1"/>
      <c r="AO235" s="1"/>
      <c r="AP235" s="2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9" customHeight="1" x14ac:dyDescent="0.3">
      <c r="A236" s="5"/>
      <c r="B236" s="62"/>
      <c r="C236" s="1"/>
      <c r="D236" s="1">
        <f t="shared" si="5"/>
        <v>232</v>
      </c>
      <c r="E236" s="1" t="s">
        <v>459</v>
      </c>
      <c r="F236" s="1" t="s">
        <v>446</v>
      </c>
      <c r="G236" s="1"/>
      <c r="H236" s="1" t="s">
        <v>64</v>
      </c>
      <c r="I236" s="1" t="s">
        <v>65</v>
      </c>
      <c r="J236" s="1" t="s">
        <v>66</v>
      </c>
      <c r="K236" s="1" t="s">
        <v>459</v>
      </c>
      <c r="L236" s="1" t="s">
        <v>77</v>
      </c>
      <c r="M236" s="1"/>
      <c r="N236" s="1"/>
      <c r="O236" s="1"/>
      <c r="P236" s="1"/>
      <c r="Q236" s="1"/>
      <c r="R236" s="1"/>
      <c r="S236" s="1"/>
      <c r="T236" s="1"/>
      <c r="U236" s="4" t="s">
        <v>460</v>
      </c>
      <c r="V236" s="1" t="s">
        <v>70</v>
      </c>
      <c r="W236" s="1"/>
      <c r="X236" s="1"/>
      <c r="Y236" s="1"/>
      <c r="Z236" s="1"/>
      <c r="AA236" s="1"/>
      <c r="AB236" s="1"/>
      <c r="AC236" s="1"/>
      <c r="AD236" s="1"/>
      <c r="AE236" s="1"/>
      <c r="AF236" s="2"/>
      <c r="AG236" s="2"/>
      <c r="AH236" s="2"/>
      <c r="AI236" s="2"/>
      <c r="AJ236" s="2"/>
      <c r="AK236" s="2"/>
      <c r="AL236" s="2"/>
      <c r="AM236" s="2"/>
      <c r="AN236" s="1"/>
      <c r="AO236" s="1"/>
      <c r="AP236" s="2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9" customHeight="1" x14ac:dyDescent="0.3">
      <c r="A237" s="5"/>
      <c r="B237" s="62"/>
      <c r="C237" s="1"/>
      <c r="D237" s="1">
        <f t="shared" si="5"/>
        <v>233</v>
      </c>
      <c r="E237" s="1" t="s">
        <v>461</v>
      </c>
      <c r="F237" s="1" t="s">
        <v>446</v>
      </c>
      <c r="G237" s="1"/>
      <c r="H237" s="1" t="s">
        <v>64</v>
      </c>
      <c r="I237" s="1" t="s">
        <v>65</v>
      </c>
      <c r="J237" s="1" t="s">
        <v>66</v>
      </c>
      <c r="K237" s="1" t="s">
        <v>461</v>
      </c>
      <c r="L237" s="1" t="s">
        <v>77</v>
      </c>
      <c r="M237" s="1"/>
      <c r="N237" s="1"/>
      <c r="O237" s="1"/>
      <c r="P237" s="1"/>
      <c r="Q237" s="1"/>
      <c r="R237" s="1"/>
      <c r="S237" s="1"/>
      <c r="T237" s="1"/>
      <c r="U237" s="4" t="s">
        <v>462</v>
      </c>
      <c r="V237" s="1" t="s">
        <v>70</v>
      </c>
      <c r="W237" s="1"/>
      <c r="X237" s="1"/>
      <c r="Y237" s="1"/>
      <c r="Z237" s="1"/>
      <c r="AA237" s="1"/>
      <c r="AB237" s="1"/>
      <c r="AC237" s="1"/>
      <c r="AD237" s="1"/>
      <c r="AE237" s="1"/>
      <c r="AF237" s="2"/>
      <c r="AG237" s="2"/>
      <c r="AH237" s="2"/>
      <c r="AI237" s="2"/>
      <c r="AJ237" s="2"/>
      <c r="AK237" s="2"/>
      <c r="AL237" s="2"/>
      <c r="AM237" s="2"/>
      <c r="AN237" s="1"/>
      <c r="AO237" s="1"/>
      <c r="AP237" s="2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9" customHeight="1" x14ac:dyDescent="0.3">
      <c r="A238" s="5"/>
      <c r="B238" s="62"/>
      <c r="C238" s="1" t="s">
        <v>463</v>
      </c>
      <c r="D238" s="1">
        <f t="shared" si="5"/>
        <v>234</v>
      </c>
      <c r="E238" s="1" t="s">
        <v>464</v>
      </c>
      <c r="F238" s="1" t="s">
        <v>446</v>
      </c>
      <c r="G238" s="1"/>
      <c r="H238" s="1" t="s">
        <v>64</v>
      </c>
      <c r="I238" s="1" t="s">
        <v>147</v>
      </c>
      <c r="J238" s="1" t="s">
        <v>66</v>
      </c>
      <c r="K238" s="1" t="s">
        <v>464</v>
      </c>
      <c r="L238" s="1" t="s">
        <v>77</v>
      </c>
      <c r="M238" s="1"/>
      <c r="N238" s="1"/>
      <c r="O238" s="1"/>
      <c r="P238" s="1"/>
      <c r="Q238" s="1"/>
      <c r="R238" s="1"/>
      <c r="S238" s="1"/>
      <c r="T238" s="1"/>
      <c r="U238" s="4" t="s">
        <v>465</v>
      </c>
      <c r="V238" s="1" t="s">
        <v>70</v>
      </c>
      <c r="W238" s="1"/>
      <c r="X238" s="1"/>
      <c r="Y238" s="1"/>
      <c r="Z238" s="1"/>
      <c r="AA238" s="1"/>
      <c r="AB238" s="1"/>
      <c r="AC238" s="1"/>
      <c r="AD238" s="1"/>
      <c r="AE238" s="1"/>
      <c r="AF238" s="2"/>
      <c r="AG238" s="2"/>
      <c r="AH238" s="2"/>
      <c r="AI238" s="2"/>
      <c r="AJ238" s="2"/>
      <c r="AK238" s="2"/>
      <c r="AL238" s="2"/>
      <c r="AM238" s="2"/>
      <c r="AN238" s="1"/>
      <c r="AO238" s="1"/>
      <c r="AP238" s="2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9" customHeight="1" x14ac:dyDescent="0.3">
      <c r="A239" s="5"/>
      <c r="B239" s="62"/>
      <c r="C239" s="1"/>
      <c r="D239" s="1">
        <f t="shared" si="5"/>
        <v>235</v>
      </c>
      <c r="E239" s="1" t="s">
        <v>466</v>
      </c>
      <c r="F239" s="1" t="s">
        <v>446</v>
      </c>
      <c r="G239" s="1"/>
      <c r="H239" s="1" t="s">
        <v>64</v>
      </c>
      <c r="I239" s="1" t="s">
        <v>65</v>
      </c>
      <c r="J239" s="1" t="s">
        <v>66</v>
      </c>
      <c r="K239" s="1" t="s">
        <v>466</v>
      </c>
      <c r="L239" s="1" t="s">
        <v>77</v>
      </c>
      <c r="M239" s="1"/>
      <c r="N239" s="1"/>
      <c r="O239" s="1"/>
      <c r="P239" s="1"/>
      <c r="Q239" s="1"/>
      <c r="R239" s="1"/>
      <c r="S239" s="1"/>
      <c r="T239" s="1"/>
      <c r="U239" s="4" t="s">
        <v>467</v>
      </c>
      <c r="V239" s="1" t="s">
        <v>70</v>
      </c>
      <c r="W239" s="1"/>
      <c r="X239" s="1"/>
      <c r="Y239" s="1"/>
      <c r="Z239" s="1"/>
      <c r="AA239" s="1"/>
      <c r="AB239" s="1"/>
      <c r="AC239" s="1"/>
      <c r="AD239" s="1"/>
      <c r="AE239" s="1"/>
      <c r="AF239" s="2"/>
      <c r="AG239" s="2"/>
      <c r="AH239" s="2"/>
      <c r="AI239" s="2"/>
      <c r="AJ239" s="2"/>
      <c r="AK239" s="2"/>
      <c r="AL239" s="2"/>
      <c r="AM239" s="2"/>
      <c r="AN239" s="1"/>
      <c r="AO239" s="1"/>
      <c r="AP239" s="2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9" customHeight="1" x14ac:dyDescent="0.3">
      <c r="A240" s="5"/>
      <c r="B240" s="62"/>
      <c r="C240" s="1"/>
      <c r="D240" s="1">
        <f t="shared" si="5"/>
        <v>236</v>
      </c>
      <c r="E240" s="1" t="s">
        <v>468</v>
      </c>
      <c r="F240" s="1" t="s">
        <v>446</v>
      </c>
      <c r="G240" s="1"/>
      <c r="H240" s="1" t="s">
        <v>64</v>
      </c>
      <c r="I240" s="1" t="s">
        <v>65</v>
      </c>
      <c r="J240" s="1" t="s">
        <v>66</v>
      </c>
      <c r="K240" s="1" t="s">
        <v>468</v>
      </c>
      <c r="L240" s="1" t="s">
        <v>77</v>
      </c>
      <c r="M240" s="1"/>
      <c r="N240" s="1"/>
      <c r="O240" s="1"/>
      <c r="P240" s="1"/>
      <c r="Q240" s="1"/>
      <c r="R240" s="1"/>
      <c r="S240" s="1"/>
      <c r="T240" s="1"/>
      <c r="U240" s="4" t="s">
        <v>469</v>
      </c>
      <c r="V240" s="1" t="s">
        <v>70</v>
      </c>
      <c r="W240" s="1"/>
      <c r="X240" s="1"/>
      <c r="Y240" s="1"/>
      <c r="Z240" s="1"/>
      <c r="AA240" s="1"/>
      <c r="AB240" s="1"/>
      <c r="AC240" s="1"/>
      <c r="AD240" s="1"/>
      <c r="AE240" s="1"/>
      <c r="AF240" s="2"/>
      <c r="AG240" s="2"/>
      <c r="AH240" s="2"/>
      <c r="AI240" s="2"/>
      <c r="AJ240" s="2"/>
      <c r="AK240" s="2"/>
      <c r="AL240" s="2"/>
      <c r="AM240" s="2"/>
      <c r="AN240" s="1"/>
      <c r="AO240" s="1"/>
      <c r="AP240" s="2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9" customHeight="1" x14ac:dyDescent="0.3">
      <c r="A241" s="5"/>
      <c r="B241" s="62"/>
      <c r="C241" s="1"/>
      <c r="D241" s="1">
        <f t="shared" si="5"/>
        <v>237</v>
      </c>
      <c r="E241" s="1" t="s">
        <v>470</v>
      </c>
      <c r="F241" s="1" t="s">
        <v>446</v>
      </c>
      <c r="G241" s="1"/>
      <c r="H241" s="1" t="s">
        <v>64</v>
      </c>
      <c r="I241" s="1" t="s">
        <v>147</v>
      </c>
      <c r="J241" s="1" t="s">
        <v>66</v>
      </c>
      <c r="K241" s="1" t="s">
        <v>470</v>
      </c>
      <c r="L241" s="1" t="s">
        <v>77</v>
      </c>
      <c r="M241" s="1"/>
      <c r="N241" s="1"/>
      <c r="O241" s="1"/>
      <c r="P241" s="1"/>
      <c r="Q241" s="1"/>
      <c r="R241" s="1"/>
      <c r="S241" s="1"/>
      <c r="T241" s="1"/>
      <c r="U241" s="4" t="s">
        <v>471</v>
      </c>
      <c r="V241" s="1" t="s">
        <v>70</v>
      </c>
      <c r="W241" s="1"/>
      <c r="X241" s="1"/>
      <c r="Y241" s="1"/>
      <c r="Z241" s="1"/>
      <c r="AA241" s="1"/>
      <c r="AB241" s="1"/>
      <c r="AC241" s="1"/>
      <c r="AD241" s="1"/>
      <c r="AE241" s="1"/>
      <c r="AF241" s="2"/>
      <c r="AG241" s="2"/>
      <c r="AH241" s="2"/>
      <c r="AI241" s="2"/>
      <c r="AJ241" s="2"/>
      <c r="AK241" s="2"/>
      <c r="AL241" s="2"/>
      <c r="AM241" s="2"/>
      <c r="AN241" s="1"/>
      <c r="AO241" s="1"/>
      <c r="AP241" s="2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9" customHeight="1" x14ac:dyDescent="0.3">
      <c r="A242" s="5"/>
      <c r="B242" s="62"/>
      <c r="C242" s="1"/>
      <c r="D242" s="1">
        <f t="shared" si="5"/>
        <v>238</v>
      </c>
      <c r="E242" s="1" t="s">
        <v>472</v>
      </c>
      <c r="F242" s="1" t="s">
        <v>446</v>
      </c>
      <c r="G242" s="1"/>
      <c r="H242" s="1" t="s">
        <v>64</v>
      </c>
      <c r="I242" s="1" t="s">
        <v>147</v>
      </c>
      <c r="J242" s="1" t="s">
        <v>66</v>
      </c>
      <c r="K242" s="1" t="s">
        <v>472</v>
      </c>
      <c r="L242" s="1" t="s">
        <v>77</v>
      </c>
      <c r="M242" s="1"/>
      <c r="N242" s="1"/>
      <c r="O242" s="1"/>
      <c r="P242" s="1"/>
      <c r="Q242" s="1"/>
      <c r="R242" s="1"/>
      <c r="S242" s="1"/>
      <c r="T242" s="1"/>
      <c r="U242" s="4" t="s">
        <v>473</v>
      </c>
      <c r="V242" s="1" t="s">
        <v>70</v>
      </c>
      <c r="W242" s="1"/>
      <c r="X242" s="1"/>
      <c r="Y242" s="1"/>
      <c r="Z242" s="1"/>
      <c r="AA242" s="1"/>
      <c r="AB242" s="1"/>
      <c r="AC242" s="1"/>
      <c r="AD242" s="1"/>
      <c r="AE242" s="1"/>
      <c r="AF242" s="2"/>
      <c r="AG242" s="2"/>
      <c r="AH242" s="2"/>
      <c r="AI242" s="2"/>
      <c r="AJ242" s="2"/>
      <c r="AK242" s="2"/>
      <c r="AL242" s="2"/>
      <c r="AM242" s="2"/>
      <c r="AN242" s="1"/>
      <c r="AO242" s="1"/>
      <c r="AP242" s="2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9" customHeight="1" x14ac:dyDescent="0.3">
      <c r="A243" s="5"/>
      <c r="B243" s="62"/>
      <c r="C243" s="1" t="s">
        <v>463</v>
      </c>
      <c r="D243" s="1">
        <f t="shared" si="5"/>
        <v>239</v>
      </c>
      <c r="E243" s="1" t="s">
        <v>474</v>
      </c>
      <c r="F243" s="1" t="s">
        <v>446</v>
      </c>
      <c r="G243" s="1"/>
      <c r="H243" s="1" t="s">
        <v>64</v>
      </c>
      <c r="I243" s="1" t="s">
        <v>147</v>
      </c>
      <c r="J243" s="1" t="s">
        <v>66</v>
      </c>
      <c r="K243" s="1" t="s">
        <v>474</v>
      </c>
      <c r="L243" s="1" t="s">
        <v>77</v>
      </c>
      <c r="M243" s="1"/>
      <c r="N243" s="1"/>
      <c r="O243" s="1"/>
      <c r="P243" s="1"/>
      <c r="Q243" s="1"/>
      <c r="R243" s="1"/>
      <c r="S243" s="1"/>
      <c r="T243" s="1"/>
      <c r="U243" s="4" t="s">
        <v>475</v>
      </c>
      <c r="V243" s="1" t="s">
        <v>70</v>
      </c>
      <c r="W243" s="1"/>
      <c r="X243" s="1"/>
      <c r="Y243" s="1"/>
      <c r="Z243" s="1"/>
      <c r="AA243" s="1"/>
      <c r="AB243" s="1"/>
      <c r="AC243" s="1"/>
      <c r="AD243" s="1"/>
      <c r="AE243" s="1"/>
      <c r="AF243" s="2"/>
      <c r="AG243" s="2"/>
      <c r="AH243" s="2"/>
      <c r="AI243" s="2"/>
      <c r="AJ243" s="2"/>
      <c r="AK243" s="2"/>
      <c r="AL243" s="2"/>
      <c r="AM243" s="2"/>
      <c r="AN243" s="1"/>
      <c r="AO243" s="1"/>
      <c r="AP243" s="2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9" customHeight="1" x14ac:dyDescent="0.3">
      <c r="A244" s="5"/>
      <c r="B244" s="62" t="s">
        <v>476</v>
      </c>
      <c r="C244" s="1"/>
      <c r="D244" s="1">
        <f t="shared" si="5"/>
        <v>240</v>
      </c>
      <c r="E244" s="1" t="s">
        <v>477</v>
      </c>
      <c r="F244" s="1" t="s">
        <v>476</v>
      </c>
      <c r="G244" s="1"/>
      <c r="H244" s="1" t="s">
        <v>162</v>
      </c>
      <c r="I244" s="1" t="s">
        <v>147</v>
      </c>
      <c r="J244" s="1" t="s">
        <v>66</v>
      </c>
      <c r="K244" s="1"/>
      <c r="L244" s="1" t="s">
        <v>77</v>
      </c>
      <c r="M244" s="1"/>
      <c r="N244" s="1"/>
      <c r="O244" s="1"/>
      <c r="P244" s="1"/>
      <c r="Q244" s="1"/>
      <c r="R244" s="1"/>
      <c r="S244" s="1"/>
      <c r="T244" s="1"/>
      <c r="U244" s="4"/>
      <c r="V244" s="1" t="s">
        <v>163</v>
      </c>
      <c r="W244" s="1"/>
      <c r="X244" s="1"/>
      <c r="Y244" s="1"/>
      <c r="Z244" s="1"/>
      <c r="AA244" s="1"/>
      <c r="AB244" s="1"/>
      <c r="AC244" s="1"/>
      <c r="AD244" s="1"/>
      <c r="AE244" s="1"/>
      <c r="AF244" s="2"/>
      <c r="AG244" s="2"/>
      <c r="AH244" s="2"/>
      <c r="AI244" s="2"/>
      <c r="AJ244" s="2"/>
      <c r="AK244" s="2"/>
      <c r="AL244" s="2"/>
      <c r="AM244" s="2"/>
      <c r="AN244" s="1"/>
      <c r="AO244" s="1"/>
      <c r="AP244" s="2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9" customHeight="1" x14ac:dyDescent="0.3">
      <c r="A245" s="5"/>
      <c r="B245" s="62"/>
      <c r="C245" s="1"/>
      <c r="D245" s="1">
        <f t="shared" si="5"/>
        <v>241</v>
      </c>
      <c r="E245" s="1" t="s">
        <v>478</v>
      </c>
      <c r="F245" s="1" t="s">
        <v>476</v>
      </c>
      <c r="G245" s="1"/>
      <c r="H245" s="1" t="s">
        <v>162</v>
      </c>
      <c r="I245" s="1" t="s">
        <v>147</v>
      </c>
      <c r="J245" s="1" t="s">
        <v>66</v>
      </c>
      <c r="K245" s="1"/>
      <c r="L245" s="1" t="s">
        <v>77</v>
      </c>
      <c r="M245" s="1"/>
      <c r="N245" s="1"/>
      <c r="O245" s="1"/>
      <c r="P245" s="1"/>
      <c r="Q245" s="1"/>
      <c r="R245" s="1"/>
      <c r="S245" s="1"/>
      <c r="T245" s="1"/>
      <c r="U245" s="4"/>
      <c r="V245" s="1" t="s">
        <v>163</v>
      </c>
      <c r="W245" s="1"/>
      <c r="X245" s="1"/>
      <c r="Y245" s="1"/>
      <c r="Z245" s="1"/>
      <c r="AA245" s="1"/>
      <c r="AB245" s="1"/>
      <c r="AC245" s="1"/>
      <c r="AD245" s="1"/>
      <c r="AE245" s="1"/>
      <c r="AF245" s="2"/>
      <c r="AG245" s="2"/>
      <c r="AH245" s="2"/>
      <c r="AI245" s="2"/>
      <c r="AJ245" s="2"/>
      <c r="AK245" s="2"/>
      <c r="AL245" s="2"/>
      <c r="AM245" s="2"/>
      <c r="AN245" s="1"/>
      <c r="AO245" s="1"/>
      <c r="AP245" s="2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9" customHeight="1" x14ac:dyDescent="0.3">
      <c r="A246" s="5"/>
      <c r="B246" s="62"/>
      <c r="C246" s="1" t="s">
        <v>479</v>
      </c>
      <c r="D246" s="1">
        <f t="shared" si="5"/>
        <v>242</v>
      </c>
      <c r="E246" s="1" t="s">
        <v>480</v>
      </c>
      <c r="F246" s="1" t="s">
        <v>476</v>
      </c>
      <c r="G246" s="1"/>
      <c r="H246" s="1" t="s">
        <v>162</v>
      </c>
      <c r="I246" s="1" t="s">
        <v>147</v>
      </c>
      <c r="J246" s="1" t="s">
        <v>66</v>
      </c>
      <c r="K246" s="1"/>
      <c r="L246" s="1" t="s">
        <v>77</v>
      </c>
      <c r="M246" s="1"/>
      <c r="N246" s="1"/>
      <c r="O246" s="1"/>
      <c r="P246" s="1"/>
      <c r="Q246" s="1"/>
      <c r="R246" s="1"/>
      <c r="S246" s="1"/>
      <c r="T246" s="1"/>
      <c r="U246" s="4"/>
      <c r="V246" s="1" t="s">
        <v>163</v>
      </c>
      <c r="W246" s="1"/>
      <c r="X246" s="1"/>
      <c r="Y246" s="1"/>
      <c r="Z246" s="1"/>
      <c r="AA246" s="1"/>
      <c r="AB246" s="1"/>
      <c r="AC246" s="1"/>
      <c r="AD246" s="1"/>
      <c r="AE246" s="1"/>
      <c r="AF246" s="2"/>
      <c r="AG246" s="2"/>
      <c r="AH246" s="2"/>
      <c r="AI246" s="2"/>
      <c r="AJ246" s="2"/>
      <c r="AK246" s="2"/>
      <c r="AL246" s="2"/>
      <c r="AM246" s="2"/>
      <c r="AN246" s="1"/>
      <c r="AO246" s="1"/>
      <c r="AP246" s="2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9" customHeight="1" x14ac:dyDescent="0.3">
      <c r="A247" s="5"/>
      <c r="B247" s="62"/>
      <c r="C247" s="1" t="s">
        <v>479</v>
      </c>
      <c r="D247" s="1">
        <f t="shared" si="5"/>
        <v>243</v>
      </c>
      <c r="E247" s="1" t="s">
        <v>481</v>
      </c>
      <c r="F247" s="1" t="s">
        <v>476</v>
      </c>
      <c r="G247" s="1"/>
      <c r="H247" s="1" t="s">
        <v>162</v>
      </c>
      <c r="I247" s="1" t="s">
        <v>147</v>
      </c>
      <c r="J247" s="1" t="s">
        <v>66</v>
      </c>
      <c r="K247" s="1"/>
      <c r="L247" s="1" t="s">
        <v>77</v>
      </c>
      <c r="M247" s="1"/>
      <c r="N247" s="1"/>
      <c r="O247" s="1"/>
      <c r="P247" s="1"/>
      <c r="Q247" s="1"/>
      <c r="R247" s="1"/>
      <c r="S247" s="1"/>
      <c r="T247" s="1"/>
      <c r="U247" s="4"/>
      <c r="V247" s="1" t="s">
        <v>163</v>
      </c>
      <c r="W247" s="1"/>
      <c r="X247" s="1"/>
      <c r="Y247" s="1"/>
      <c r="Z247" s="1"/>
      <c r="AA247" s="1"/>
      <c r="AB247" s="1"/>
      <c r="AC247" s="1"/>
      <c r="AD247" s="1"/>
      <c r="AE247" s="1"/>
      <c r="AF247" s="2"/>
      <c r="AG247" s="2"/>
      <c r="AH247" s="2"/>
      <c r="AI247" s="2"/>
      <c r="AJ247" s="2"/>
      <c r="AK247" s="2"/>
      <c r="AL247" s="2"/>
      <c r="AM247" s="2"/>
      <c r="AN247" s="1"/>
      <c r="AO247" s="1"/>
      <c r="AP247" s="2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9" customHeight="1" x14ac:dyDescent="0.3">
      <c r="A248" s="5"/>
      <c r="B248" s="62"/>
      <c r="C248" s="1"/>
      <c r="D248" s="1">
        <f t="shared" si="5"/>
        <v>244</v>
      </c>
      <c r="E248" s="1" t="s">
        <v>482</v>
      </c>
      <c r="F248" s="1" t="s">
        <v>476</v>
      </c>
      <c r="G248" s="1"/>
      <c r="H248" s="1" t="s">
        <v>162</v>
      </c>
      <c r="I248" s="1" t="s">
        <v>147</v>
      </c>
      <c r="J248" s="1" t="s">
        <v>66</v>
      </c>
      <c r="K248" s="1"/>
      <c r="L248" s="1" t="s">
        <v>77</v>
      </c>
      <c r="M248" s="1"/>
      <c r="N248" s="1"/>
      <c r="O248" s="1"/>
      <c r="P248" s="1"/>
      <c r="Q248" s="1"/>
      <c r="R248" s="1"/>
      <c r="S248" s="1"/>
      <c r="T248" s="1"/>
      <c r="U248" s="4"/>
      <c r="V248" s="1" t="s">
        <v>163</v>
      </c>
      <c r="W248" s="1"/>
      <c r="X248" s="1"/>
      <c r="Y248" s="1"/>
      <c r="Z248" s="1"/>
      <c r="AA248" s="1"/>
      <c r="AB248" s="1"/>
      <c r="AC248" s="1"/>
      <c r="AD248" s="1"/>
      <c r="AE248" s="1"/>
      <c r="AF248" s="2"/>
      <c r="AG248" s="2"/>
      <c r="AH248" s="2"/>
      <c r="AI248" s="2"/>
      <c r="AJ248" s="2"/>
      <c r="AK248" s="2"/>
      <c r="AL248" s="2"/>
      <c r="AM248" s="2"/>
      <c r="AN248" s="1"/>
      <c r="AO248" s="1"/>
      <c r="AP248" s="2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9" customHeight="1" x14ac:dyDescent="0.3">
      <c r="A249" s="5"/>
      <c r="B249" s="62"/>
      <c r="C249" s="1"/>
      <c r="D249" s="1">
        <f t="shared" si="5"/>
        <v>245</v>
      </c>
      <c r="E249" s="1" t="s">
        <v>483</v>
      </c>
      <c r="F249" s="1" t="s">
        <v>476</v>
      </c>
      <c r="G249" s="1"/>
      <c r="H249" s="1" t="s">
        <v>162</v>
      </c>
      <c r="I249" s="1" t="s">
        <v>147</v>
      </c>
      <c r="J249" s="1" t="s">
        <v>66</v>
      </c>
      <c r="K249" s="1"/>
      <c r="L249" s="1" t="s">
        <v>77</v>
      </c>
      <c r="M249" s="1"/>
      <c r="N249" s="1"/>
      <c r="O249" s="1"/>
      <c r="P249" s="1"/>
      <c r="Q249" s="1"/>
      <c r="R249" s="1"/>
      <c r="S249" s="1"/>
      <c r="T249" s="1"/>
      <c r="U249" s="4"/>
      <c r="V249" s="1" t="s">
        <v>163</v>
      </c>
      <c r="W249" s="1"/>
      <c r="X249" s="1"/>
      <c r="Y249" s="1"/>
      <c r="Z249" s="1"/>
      <c r="AA249" s="1"/>
      <c r="AB249" s="1"/>
      <c r="AC249" s="1"/>
      <c r="AD249" s="1"/>
      <c r="AE249" s="1"/>
      <c r="AF249" s="2"/>
      <c r="AG249" s="2"/>
      <c r="AH249" s="2"/>
      <c r="AI249" s="2"/>
      <c r="AJ249" s="2"/>
      <c r="AK249" s="2"/>
      <c r="AL249" s="2"/>
      <c r="AM249" s="2"/>
      <c r="AN249" s="1"/>
      <c r="AO249" s="1"/>
      <c r="AP249" s="2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9" customHeight="1" x14ac:dyDescent="0.3">
      <c r="A250" s="5"/>
      <c r="B250" s="62"/>
      <c r="C250" s="1"/>
      <c r="D250" s="1">
        <f t="shared" si="5"/>
        <v>246</v>
      </c>
      <c r="E250" s="1" t="s">
        <v>484</v>
      </c>
      <c r="F250" s="1" t="s">
        <v>476</v>
      </c>
      <c r="G250" s="1"/>
      <c r="H250" s="1" t="s">
        <v>162</v>
      </c>
      <c r="I250" s="1" t="s">
        <v>147</v>
      </c>
      <c r="J250" s="1" t="s">
        <v>66</v>
      </c>
      <c r="K250" s="1"/>
      <c r="L250" s="1" t="s">
        <v>77</v>
      </c>
      <c r="M250" s="1"/>
      <c r="N250" s="1"/>
      <c r="O250" s="1"/>
      <c r="P250" s="1"/>
      <c r="Q250" s="1"/>
      <c r="R250" s="1"/>
      <c r="S250" s="1"/>
      <c r="T250" s="1"/>
      <c r="U250" s="4"/>
      <c r="V250" s="1" t="s">
        <v>163</v>
      </c>
      <c r="W250" s="1"/>
      <c r="X250" s="1"/>
      <c r="Y250" s="1"/>
      <c r="Z250" s="1"/>
      <c r="AA250" s="1"/>
      <c r="AB250" s="1"/>
      <c r="AC250" s="1"/>
      <c r="AD250" s="1"/>
      <c r="AE250" s="1"/>
      <c r="AF250" s="2"/>
      <c r="AG250" s="2"/>
      <c r="AH250" s="2"/>
      <c r="AI250" s="2"/>
      <c r="AJ250" s="2"/>
      <c r="AK250" s="2"/>
      <c r="AL250" s="2"/>
      <c r="AM250" s="2"/>
      <c r="AN250" s="1"/>
      <c r="AO250" s="1"/>
      <c r="AP250" s="2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9" customHeight="1" x14ac:dyDescent="0.3">
      <c r="A251" s="5"/>
      <c r="B251" s="62"/>
      <c r="C251" s="1"/>
      <c r="D251" s="1">
        <f t="shared" si="5"/>
        <v>247</v>
      </c>
      <c r="E251" s="1" t="s">
        <v>485</v>
      </c>
      <c r="F251" s="1" t="s">
        <v>476</v>
      </c>
      <c r="G251" s="1"/>
      <c r="H251" s="1" t="s">
        <v>162</v>
      </c>
      <c r="I251" s="1" t="s">
        <v>147</v>
      </c>
      <c r="J251" s="1" t="s">
        <v>66</v>
      </c>
      <c r="K251" s="1"/>
      <c r="L251" s="1" t="s">
        <v>77</v>
      </c>
      <c r="M251" s="1"/>
      <c r="N251" s="1"/>
      <c r="O251" s="1"/>
      <c r="P251" s="1"/>
      <c r="Q251" s="1"/>
      <c r="R251" s="1"/>
      <c r="S251" s="1"/>
      <c r="T251" s="1"/>
      <c r="U251" s="4"/>
      <c r="V251" s="1" t="s">
        <v>163</v>
      </c>
      <c r="W251" s="1"/>
      <c r="X251" s="1"/>
      <c r="Y251" s="1"/>
      <c r="Z251" s="1"/>
      <c r="AA251" s="1"/>
      <c r="AB251" s="1"/>
      <c r="AC251" s="1"/>
      <c r="AD251" s="1"/>
      <c r="AE251" s="1"/>
      <c r="AF251" s="2"/>
      <c r="AG251" s="2"/>
      <c r="AH251" s="2"/>
      <c r="AI251" s="2"/>
      <c r="AJ251" s="2"/>
      <c r="AK251" s="2"/>
      <c r="AL251" s="2"/>
      <c r="AM251" s="2"/>
      <c r="AN251" s="1"/>
      <c r="AO251" s="1"/>
      <c r="AP251" s="2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9" customHeight="1" x14ac:dyDescent="0.3">
      <c r="A252" s="5"/>
      <c r="B252" s="62"/>
      <c r="C252" s="1"/>
      <c r="D252" s="1">
        <f t="shared" si="5"/>
        <v>248</v>
      </c>
      <c r="E252" s="1" t="s">
        <v>486</v>
      </c>
      <c r="F252" s="1" t="s">
        <v>476</v>
      </c>
      <c r="G252" s="1"/>
      <c r="H252" s="1" t="s">
        <v>162</v>
      </c>
      <c r="I252" s="1" t="s">
        <v>147</v>
      </c>
      <c r="J252" s="1" t="s">
        <v>66</v>
      </c>
      <c r="K252" s="1"/>
      <c r="L252" s="1" t="s">
        <v>77</v>
      </c>
      <c r="M252" s="1"/>
      <c r="N252" s="1"/>
      <c r="O252" s="1"/>
      <c r="P252" s="1"/>
      <c r="Q252" s="1"/>
      <c r="R252" s="1"/>
      <c r="S252" s="1"/>
      <c r="T252" s="1"/>
      <c r="U252" s="4"/>
      <c r="V252" s="1" t="s">
        <v>163</v>
      </c>
      <c r="W252" s="1"/>
      <c r="X252" s="1"/>
      <c r="Y252" s="1"/>
      <c r="Z252" s="1"/>
      <c r="AA252" s="1"/>
      <c r="AB252" s="1"/>
      <c r="AC252" s="1"/>
      <c r="AD252" s="1"/>
      <c r="AE252" s="1"/>
      <c r="AF252" s="2"/>
      <c r="AG252" s="2"/>
      <c r="AH252" s="2"/>
      <c r="AI252" s="2"/>
      <c r="AJ252" s="2"/>
      <c r="AK252" s="2"/>
      <c r="AL252" s="2"/>
      <c r="AM252" s="2"/>
      <c r="AN252" s="1"/>
      <c r="AO252" s="1"/>
      <c r="AP252" s="2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9" customHeight="1" x14ac:dyDescent="0.3">
      <c r="A253" s="5"/>
      <c r="B253" s="62"/>
      <c r="C253" s="1"/>
      <c r="D253" s="1">
        <f t="shared" si="5"/>
        <v>249</v>
      </c>
      <c r="E253" s="1" t="s">
        <v>487</v>
      </c>
      <c r="F253" s="1" t="s">
        <v>476</v>
      </c>
      <c r="G253" s="1"/>
      <c r="H253" s="1" t="s">
        <v>162</v>
      </c>
      <c r="I253" s="1" t="s">
        <v>147</v>
      </c>
      <c r="J253" s="1" t="s">
        <v>66</v>
      </c>
      <c r="K253" s="1"/>
      <c r="L253" s="1" t="s">
        <v>77</v>
      </c>
      <c r="M253" s="1"/>
      <c r="N253" s="1"/>
      <c r="O253" s="1"/>
      <c r="P253" s="1"/>
      <c r="Q253" s="1"/>
      <c r="R253" s="1"/>
      <c r="S253" s="1"/>
      <c r="T253" s="1"/>
      <c r="U253" s="4"/>
      <c r="V253" s="1" t="s">
        <v>163</v>
      </c>
      <c r="W253" s="1"/>
      <c r="X253" s="1"/>
      <c r="Y253" s="1"/>
      <c r="Z253" s="1"/>
      <c r="AA253" s="1"/>
      <c r="AB253" s="1"/>
      <c r="AC253" s="1"/>
      <c r="AD253" s="1"/>
      <c r="AE253" s="1"/>
      <c r="AF253" s="2"/>
      <c r="AG253" s="2"/>
      <c r="AH253" s="2"/>
      <c r="AI253" s="2"/>
      <c r="AJ253" s="2"/>
      <c r="AK253" s="2"/>
      <c r="AL253" s="2"/>
      <c r="AM253" s="2"/>
      <c r="AN253" s="1"/>
      <c r="AO253" s="1"/>
      <c r="AP253" s="2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9" customHeight="1" x14ac:dyDescent="0.3">
      <c r="A254" s="5"/>
      <c r="B254" s="62"/>
      <c r="C254" s="1"/>
      <c r="D254" s="1">
        <f t="shared" si="5"/>
        <v>250</v>
      </c>
      <c r="E254" s="1" t="s">
        <v>488</v>
      </c>
      <c r="F254" s="1" t="s">
        <v>476</v>
      </c>
      <c r="G254" s="1"/>
      <c r="H254" s="1" t="s">
        <v>162</v>
      </c>
      <c r="I254" s="1" t="s">
        <v>147</v>
      </c>
      <c r="J254" s="1" t="s">
        <v>66</v>
      </c>
      <c r="K254" s="1"/>
      <c r="L254" s="1" t="s">
        <v>77</v>
      </c>
      <c r="M254" s="1"/>
      <c r="N254" s="1"/>
      <c r="O254" s="1"/>
      <c r="P254" s="1"/>
      <c r="Q254" s="1"/>
      <c r="R254" s="1"/>
      <c r="S254" s="1"/>
      <c r="T254" s="1"/>
      <c r="U254" s="4"/>
      <c r="V254" s="1" t="s">
        <v>163</v>
      </c>
      <c r="W254" s="1"/>
      <c r="X254" s="1"/>
      <c r="Y254" s="1"/>
      <c r="Z254" s="1"/>
      <c r="AA254" s="1"/>
      <c r="AB254" s="1"/>
      <c r="AC254" s="1"/>
      <c r="AD254" s="1"/>
      <c r="AE254" s="1"/>
      <c r="AF254" s="2"/>
      <c r="AG254" s="2"/>
      <c r="AH254" s="2"/>
      <c r="AI254" s="2"/>
      <c r="AJ254" s="2"/>
      <c r="AK254" s="2"/>
      <c r="AL254" s="2"/>
      <c r="AM254" s="2"/>
      <c r="AN254" s="1"/>
      <c r="AO254" s="1"/>
      <c r="AP254" s="2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9" customHeight="1" x14ac:dyDescent="0.3">
      <c r="A255" s="5"/>
      <c r="B255" s="62" t="s">
        <v>489</v>
      </c>
      <c r="C255" s="1" t="s">
        <v>490</v>
      </c>
      <c r="D255" s="1">
        <f t="shared" si="5"/>
        <v>251</v>
      </c>
      <c r="E255" s="1" t="s">
        <v>491</v>
      </c>
      <c r="F255" s="1" t="s">
        <v>489</v>
      </c>
      <c r="G255" s="1" t="s">
        <v>90</v>
      </c>
      <c r="H255" s="1" t="s">
        <v>162</v>
      </c>
      <c r="I255" s="1" t="s">
        <v>147</v>
      </c>
      <c r="J255" s="1" t="s">
        <v>66</v>
      </c>
      <c r="K255" s="1" t="str">
        <f t="shared" ref="K255:K262" si="8">E255</f>
        <v>WAT Hold Information</v>
      </c>
      <c r="L255" s="1" t="s">
        <v>77</v>
      </c>
      <c r="M255" s="1"/>
      <c r="N255" s="1"/>
      <c r="O255" s="1"/>
      <c r="P255" s="1"/>
      <c r="Q255" s="1"/>
      <c r="R255" s="1"/>
      <c r="S255" s="1"/>
      <c r="T255" s="1"/>
      <c r="U255" s="4"/>
      <c r="V255" s="1" t="s">
        <v>257</v>
      </c>
      <c r="W255" s="1" t="s">
        <v>258</v>
      </c>
      <c r="X255" s="1" t="s">
        <v>81</v>
      </c>
      <c r="Y255" s="1" t="s">
        <v>259</v>
      </c>
      <c r="Z255" s="1" t="s">
        <v>263</v>
      </c>
      <c r="AA255" s="1"/>
      <c r="AB255" s="1"/>
      <c r="AC255" s="1"/>
      <c r="AD255" s="1"/>
      <c r="AE255" s="1"/>
      <c r="AF255" s="2"/>
      <c r="AG255" s="2"/>
      <c r="AH255" s="2"/>
      <c r="AI255" s="2"/>
      <c r="AJ255" s="2"/>
      <c r="AK255" s="2"/>
      <c r="AL255" s="2"/>
      <c r="AM255" s="2"/>
      <c r="AN255" s="1"/>
      <c r="AO255" s="1"/>
      <c r="AP255" s="2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9" customHeight="1" x14ac:dyDescent="0.3">
      <c r="A256" s="5"/>
      <c r="B256" s="62"/>
      <c r="C256" s="1" t="s">
        <v>490</v>
      </c>
      <c r="D256" s="1">
        <f t="shared" si="5"/>
        <v>252</v>
      </c>
      <c r="E256" s="1" t="s">
        <v>492</v>
      </c>
      <c r="F256" s="1" t="s">
        <v>489</v>
      </c>
      <c r="G256" s="1" t="s">
        <v>90</v>
      </c>
      <c r="H256" s="1" t="s">
        <v>162</v>
      </c>
      <c r="I256" s="1" t="s">
        <v>147</v>
      </c>
      <c r="J256" s="1" t="s">
        <v>66</v>
      </c>
      <c r="K256" s="1" t="str">
        <f t="shared" si="8"/>
        <v>WAT Result Information</v>
      </c>
      <c r="L256" s="1" t="s">
        <v>77</v>
      </c>
      <c r="M256" s="1"/>
      <c r="N256" s="1"/>
      <c r="O256" s="1"/>
      <c r="P256" s="1"/>
      <c r="Q256" s="1"/>
      <c r="R256" s="1"/>
      <c r="S256" s="1"/>
      <c r="T256" s="1"/>
      <c r="U256" s="4"/>
      <c r="V256" s="1" t="s">
        <v>257</v>
      </c>
      <c r="W256" s="1" t="s">
        <v>258</v>
      </c>
      <c r="X256" s="1" t="s">
        <v>81</v>
      </c>
      <c r="Y256" s="1" t="s">
        <v>259</v>
      </c>
      <c r="Z256" s="1" t="s">
        <v>263</v>
      </c>
      <c r="AA256" s="1"/>
      <c r="AB256" s="1"/>
      <c r="AC256" s="1"/>
      <c r="AD256" s="1"/>
      <c r="AE256" s="1"/>
      <c r="AF256" s="2"/>
      <c r="AG256" s="2"/>
      <c r="AH256" s="2"/>
      <c r="AI256" s="2"/>
      <c r="AJ256" s="2"/>
      <c r="AK256" s="2"/>
      <c r="AL256" s="2"/>
      <c r="AM256" s="2"/>
      <c r="AN256" s="1"/>
      <c r="AO256" s="1"/>
      <c r="AP256" s="2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9" customHeight="1" x14ac:dyDescent="0.3">
      <c r="A257" s="5"/>
      <c r="B257" s="62"/>
      <c r="C257" s="1" t="s">
        <v>490</v>
      </c>
      <c r="D257" s="1">
        <f t="shared" si="5"/>
        <v>253</v>
      </c>
      <c r="E257" s="1" t="s">
        <v>493</v>
      </c>
      <c r="F257" s="1" t="s">
        <v>489</v>
      </c>
      <c r="G257" s="1" t="s">
        <v>90</v>
      </c>
      <c r="H257" s="1" t="s">
        <v>162</v>
      </c>
      <c r="I257" s="1" t="s">
        <v>147</v>
      </c>
      <c r="J257" s="1" t="s">
        <v>66</v>
      </c>
      <c r="K257" s="1" t="str">
        <f t="shared" si="8"/>
        <v>Final InkMap Prod Setting</v>
      </c>
      <c r="L257" s="1" t="s">
        <v>77</v>
      </c>
      <c r="M257" s="1"/>
      <c r="N257" s="1"/>
      <c r="O257" s="1"/>
      <c r="P257" s="1"/>
      <c r="Q257" s="1"/>
      <c r="R257" s="1"/>
      <c r="S257" s="1"/>
      <c r="T257" s="1"/>
      <c r="U257" s="4"/>
      <c r="V257" s="1" t="s">
        <v>257</v>
      </c>
      <c r="W257" s="1" t="s">
        <v>258</v>
      </c>
      <c r="X257" s="1" t="s">
        <v>81</v>
      </c>
      <c r="Y257" s="1" t="s">
        <v>259</v>
      </c>
      <c r="Z257" s="1" t="s">
        <v>263</v>
      </c>
      <c r="AA257" s="1"/>
      <c r="AB257" s="1"/>
      <c r="AC257" s="1"/>
      <c r="AD257" s="1"/>
      <c r="AE257" s="1"/>
      <c r="AF257" s="2"/>
      <c r="AG257" s="2"/>
      <c r="AH257" s="2"/>
      <c r="AI257" s="2"/>
      <c r="AJ257" s="2"/>
      <c r="AK257" s="2"/>
      <c r="AL257" s="2"/>
      <c r="AM257" s="2"/>
      <c r="AN257" s="1"/>
      <c r="AO257" s="1"/>
      <c r="AP257" s="2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9" customHeight="1" x14ac:dyDescent="0.3">
      <c r="A258" s="5"/>
      <c r="B258" s="62"/>
      <c r="C258" s="1" t="s">
        <v>490</v>
      </c>
      <c r="D258" s="1">
        <f t="shared" si="5"/>
        <v>254</v>
      </c>
      <c r="E258" s="1" t="s">
        <v>494</v>
      </c>
      <c r="F258" s="1" t="s">
        <v>489</v>
      </c>
      <c r="G258" s="1" t="s">
        <v>90</v>
      </c>
      <c r="H258" s="1" t="s">
        <v>162</v>
      </c>
      <c r="I258" s="1" t="s">
        <v>147</v>
      </c>
      <c r="J258" s="1" t="s">
        <v>66</v>
      </c>
      <c r="K258" s="1" t="str">
        <f t="shared" si="8"/>
        <v>Wafer Test Information</v>
      </c>
      <c r="L258" s="1" t="s">
        <v>77</v>
      </c>
      <c r="M258" s="1"/>
      <c r="N258" s="1"/>
      <c r="O258" s="1"/>
      <c r="P258" s="1"/>
      <c r="Q258" s="1"/>
      <c r="R258" s="1"/>
      <c r="S258" s="1"/>
      <c r="T258" s="1"/>
      <c r="U258" s="4"/>
      <c r="V258" s="1" t="s">
        <v>257</v>
      </c>
      <c r="W258" s="1" t="s">
        <v>258</v>
      </c>
      <c r="X258" s="1" t="s">
        <v>81</v>
      </c>
      <c r="Y258" s="1" t="s">
        <v>259</v>
      </c>
      <c r="Z258" s="1" t="s">
        <v>263</v>
      </c>
      <c r="AA258" s="1"/>
      <c r="AB258" s="1"/>
      <c r="AC258" s="1"/>
      <c r="AD258" s="1"/>
      <c r="AE258" s="1"/>
      <c r="AF258" s="2"/>
      <c r="AG258" s="2"/>
      <c r="AH258" s="2"/>
      <c r="AI258" s="2"/>
      <c r="AJ258" s="2"/>
      <c r="AK258" s="2"/>
      <c r="AL258" s="2"/>
      <c r="AM258" s="2"/>
      <c r="AN258" s="1"/>
      <c r="AO258" s="1"/>
      <c r="AP258" s="2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9" customHeight="1" x14ac:dyDescent="0.3">
      <c r="A259" s="5"/>
      <c r="B259" s="62"/>
      <c r="C259" s="1" t="s">
        <v>490</v>
      </c>
      <c r="D259" s="1">
        <f t="shared" si="5"/>
        <v>255</v>
      </c>
      <c r="E259" s="1" t="s">
        <v>495</v>
      </c>
      <c r="F259" s="1" t="s">
        <v>489</v>
      </c>
      <c r="G259" s="1" t="s">
        <v>90</v>
      </c>
      <c r="H259" s="1" t="s">
        <v>162</v>
      </c>
      <c r="I259" s="1" t="s">
        <v>147</v>
      </c>
      <c r="J259" s="1" t="s">
        <v>66</v>
      </c>
      <c r="K259" s="1" t="str">
        <f t="shared" si="8"/>
        <v>Wafer Test Result History</v>
      </c>
      <c r="L259" s="1" t="s">
        <v>77</v>
      </c>
      <c r="M259" s="1"/>
      <c r="N259" s="1"/>
      <c r="O259" s="1"/>
      <c r="P259" s="1"/>
      <c r="Q259" s="1"/>
      <c r="R259" s="1"/>
      <c r="S259" s="1"/>
      <c r="T259" s="1"/>
      <c r="U259" s="4"/>
      <c r="V259" s="1" t="s">
        <v>257</v>
      </c>
      <c r="W259" s="1" t="s">
        <v>258</v>
      </c>
      <c r="X259" s="1" t="s">
        <v>81</v>
      </c>
      <c r="Y259" s="1" t="s">
        <v>259</v>
      </c>
      <c r="Z259" s="1" t="s">
        <v>263</v>
      </c>
      <c r="AA259" s="1"/>
      <c r="AB259" s="1"/>
      <c r="AC259" s="1"/>
      <c r="AD259" s="1"/>
      <c r="AE259" s="1"/>
      <c r="AF259" s="2"/>
      <c r="AG259" s="2"/>
      <c r="AH259" s="2"/>
      <c r="AI259" s="2"/>
      <c r="AJ259" s="2"/>
      <c r="AK259" s="2"/>
      <c r="AL259" s="2"/>
      <c r="AM259" s="2"/>
      <c r="AN259" s="1"/>
      <c r="AO259" s="1"/>
      <c r="AP259" s="2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9" customHeight="1" x14ac:dyDescent="0.3">
      <c r="A260" s="5"/>
      <c r="B260" s="62"/>
      <c r="C260" s="1" t="s">
        <v>490</v>
      </c>
      <c r="D260" s="1">
        <f t="shared" si="5"/>
        <v>256</v>
      </c>
      <c r="E260" s="1" t="s">
        <v>496</v>
      </c>
      <c r="F260" s="1" t="s">
        <v>489</v>
      </c>
      <c r="G260" s="1" t="s">
        <v>90</v>
      </c>
      <c r="H260" s="1" t="s">
        <v>162</v>
      </c>
      <c r="I260" s="1" t="s">
        <v>147</v>
      </c>
      <c r="J260" s="1" t="s">
        <v>66</v>
      </c>
      <c r="K260" s="1" t="str">
        <f t="shared" si="8"/>
        <v>WT Product Yield Setting</v>
      </c>
      <c r="L260" s="1" t="s">
        <v>77</v>
      </c>
      <c r="M260" s="1"/>
      <c r="N260" s="1"/>
      <c r="O260" s="1"/>
      <c r="P260" s="1"/>
      <c r="Q260" s="1"/>
      <c r="R260" s="1"/>
      <c r="S260" s="1"/>
      <c r="T260" s="1"/>
      <c r="U260" s="4"/>
      <c r="V260" s="1" t="s">
        <v>257</v>
      </c>
      <c r="W260" s="1" t="s">
        <v>258</v>
      </c>
      <c r="X260" s="1" t="s">
        <v>81</v>
      </c>
      <c r="Y260" s="1" t="s">
        <v>259</v>
      </c>
      <c r="Z260" s="1" t="s">
        <v>263</v>
      </c>
      <c r="AA260" s="1"/>
      <c r="AB260" s="1"/>
      <c r="AC260" s="1"/>
      <c r="AD260" s="1"/>
      <c r="AE260" s="1"/>
      <c r="AF260" s="2"/>
      <c r="AG260" s="2"/>
      <c r="AH260" s="2"/>
      <c r="AI260" s="2"/>
      <c r="AJ260" s="2"/>
      <c r="AK260" s="2"/>
      <c r="AL260" s="2"/>
      <c r="AM260" s="2"/>
      <c r="AN260" s="1"/>
      <c r="AO260" s="1"/>
      <c r="AP260" s="2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9" customHeight="1" x14ac:dyDescent="0.3">
      <c r="A261" s="5"/>
      <c r="B261" s="62"/>
      <c r="C261" s="1" t="s">
        <v>490</v>
      </c>
      <c r="D261" s="1">
        <f t="shared" si="5"/>
        <v>257</v>
      </c>
      <c r="E261" s="1" t="s">
        <v>497</v>
      </c>
      <c r="F261" s="1" t="s">
        <v>489</v>
      </c>
      <c r="G261" s="1" t="s">
        <v>90</v>
      </c>
      <c r="H261" s="1" t="s">
        <v>162</v>
      </c>
      <c r="I261" s="1" t="s">
        <v>147</v>
      </c>
      <c r="J261" s="1" t="s">
        <v>66</v>
      </c>
      <c r="K261" s="1" t="str">
        <f t="shared" si="8"/>
        <v>WT Retest Recipe Setting</v>
      </c>
      <c r="L261" s="1" t="s">
        <v>77</v>
      </c>
      <c r="M261" s="1"/>
      <c r="N261" s="1"/>
      <c r="O261" s="1"/>
      <c r="P261" s="1"/>
      <c r="Q261" s="1"/>
      <c r="R261" s="1"/>
      <c r="S261" s="1"/>
      <c r="T261" s="1"/>
      <c r="U261" s="4"/>
      <c r="V261" s="1" t="s">
        <v>257</v>
      </c>
      <c r="W261" s="1" t="s">
        <v>258</v>
      </c>
      <c r="X261" s="1" t="s">
        <v>81</v>
      </c>
      <c r="Y261" s="1" t="s">
        <v>259</v>
      </c>
      <c r="Z261" s="1" t="s">
        <v>263</v>
      </c>
      <c r="AA261" s="1"/>
      <c r="AB261" s="1"/>
      <c r="AC261" s="1"/>
      <c r="AD261" s="1"/>
      <c r="AE261" s="1"/>
      <c r="AF261" s="2"/>
      <c r="AG261" s="2"/>
      <c r="AH261" s="2"/>
      <c r="AI261" s="2"/>
      <c r="AJ261" s="2"/>
      <c r="AK261" s="2"/>
      <c r="AL261" s="2"/>
      <c r="AM261" s="2"/>
      <c r="AN261" s="1"/>
      <c r="AO261" s="1"/>
      <c r="AP261" s="2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9" customHeight="1" x14ac:dyDescent="0.3">
      <c r="A262" s="5"/>
      <c r="B262" s="62"/>
      <c r="C262" s="1" t="s">
        <v>490</v>
      </c>
      <c r="D262" s="1">
        <f t="shared" si="5"/>
        <v>258</v>
      </c>
      <c r="E262" s="1" t="s">
        <v>498</v>
      </c>
      <c r="F262" s="1" t="s">
        <v>489</v>
      </c>
      <c r="G262" s="1" t="s">
        <v>90</v>
      </c>
      <c r="H262" s="1" t="s">
        <v>162</v>
      </c>
      <c r="I262" s="1" t="s">
        <v>147</v>
      </c>
      <c r="J262" s="1" t="s">
        <v>66</v>
      </c>
      <c r="K262" s="1" t="str">
        <f t="shared" si="8"/>
        <v>WT Test Step Recipe Configuration</v>
      </c>
      <c r="L262" s="1" t="s">
        <v>77</v>
      </c>
      <c r="M262" s="1"/>
      <c r="N262" s="1"/>
      <c r="O262" s="1"/>
      <c r="P262" s="1"/>
      <c r="Q262" s="1"/>
      <c r="R262" s="1"/>
      <c r="S262" s="1"/>
      <c r="T262" s="1"/>
      <c r="U262" s="4"/>
      <c r="V262" s="1" t="s">
        <v>257</v>
      </c>
      <c r="W262" s="1" t="s">
        <v>258</v>
      </c>
      <c r="X262" s="1" t="s">
        <v>81</v>
      </c>
      <c r="Y262" s="1" t="s">
        <v>259</v>
      </c>
      <c r="Z262" s="1" t="s">
        <v>263</v>
      </c>
      <c r="AA262" s="1"/>
      <c r="AB262" s="1"/>
      <c r="AC262" s="1"/>
      <c r="AD262" s="1"/>
      <c r="AE262" s="1"/>
      <c r="AF262" s="2"/>
      <c r="AG262" s="2"/>
      <c r="AH262" s="2"/>
      <c r="AI262" s="2"/>
      <c r="AJ262" s="2"/>
      <c r="AK262" s="2"/>
      <c r="AL262" s="2"/>
      <c r="AM262" s="2"/>
      <c r="AN262" s="1"/>
      <c r="AO262" s="1"/>
      <c r="AP262" s="2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</sheetData>
  <mergeCells count="33">
    <mergeCell ref="M3:T3"/>
    <mergeCell ref="U3:U4"/>
    <mergeCell ref="B244:B254"/>
    <mergeCell ref="B255:B262"/>
    <mergeCell ref="AX3:AZ3"/>
    <mergeCell ref="AN3:AW3"/>
    <mergeCell ref="C3:C4"/>
    <mergeCell ref="D3:D4"/>
    <mergeCell ref="E3:E4"/>
    <mergeCell ref="AA3:AC3"/>
    <mergeCell ref="AD3:AM3"/>
    <mergeCell ref="J3:J4"/>
    <mergeCell ref="H3:H4"/>
    <mergeCell ref="I3:I4"/>
    <mergeCell ref="G3:G4"/>
    <mergeCell ref="F3:F4"/>
    <mergeCell ref="V3:Y3"/>
    <mergeCell ref="Z3:Z4"/>
    <mergeCell ref="B147:B171"/>
    <mergeCell ref="B172:B183"/>
    <mergeCell ref="B184:B193"/>
    <mergeCell ref="B195:B229"/>
    <mergeCell ref="B230:B243"/>
    <mergeCell ref="B52:B95"/>
    <mergeCell ref="B96:B98"/>
    <mergeCell ref="B99:B132"/>
    <mergeCell ref="B133:B137"/>
    <mergeCell ref="B138:B145"/>
    <mergeCell ref="K3:K4"/>
    <mergeCell ref="L3:L4"/>
    <mergeCell ref="B3:B4"/>
    <mergeCell ref="B6:B22"/>
    <mergeCell ref="B23:B51"/>
  </mergeCells>
  <phoneticPr fontId="70" type="noConversion"/>
  <conditionalFormatting sqref="X5:Y262 Y5:Z279">
    <cfRule type="containsText" dxfId="100" priority="13" stopIfTrue="1" operator="containsText" text="确认需要">
      <formula>NOT(ISERROR(SEARCH("确认需要",X5)))</formula>
    </cfRule>
    <cfRule type="cellIs" dxfId="99" priority="14" stopIfTrue="1" operator="equal">
      <formula>"确认需要"</formula>
    </cfRule>
  </conditionalFormatting>
  <conditionalFormatting sqref="Y5">
    <cfRule type="cellIs" dxfId="98" priority="2" stopIfTrue="1" operator="equal">
      <formula>"if(Y5=""完成""，1）"</formula>
    </cfRule>
  </conditionalFormatting>
  <conditionalFormatting sqref="BP3:BQ3 BP5:BR263">
    <cfRule type="cellIs" dxfId="97" priority="31" stopIfTrue="1" operator="equal">
      <formula>"确认需要"</formula>
    </cfRule>
  </conditionalFormatting>
  <conditionalFormatting sqref="BP4:BR4">
    <cfRule type="containsText" dxfId="96" priority="10" stopIfTrue="1" operator="containsText" text="确认需要">
      <formula>NOT(ISERROR(SEARCH("确认需要",BP4)))</formula>
    </cfRule>
    <cfRule type="cellIs" dxfId="95" priority="12" stopIfTrue="1" operator="equal">
      <formula>"确认需要"</formula>
    </cfRule>
  </conditionalFormatting>
  <conditionalFormatting sqref="BP5:BR263 BP3:BQ3">
    <cfRule type="containsText" dxfId="94" priority="29" stopIfTrue="1" operator="containsText" text="确认需要">
      <formula>NOT(ISERROR(SEARCH("确认需要",BP3)))</formula>
    </cfRule>
  </conditionalFormatting>
  <conditionalFormatting sqref="BP4:BU4">
    <cfRule type="containsText" dxfId="93" priority="5" stopIfTrue="1" operator="containsText" text="确认需要">
      <formula>NOT(ISERROR(SEARCH("确认需要",BP4)))</formula>
    </cfRule>
    <cfRule type="cellIs" dxfId="92" priority="7" stopIfTrue="1" operator="equal">
      <formula>"确认需要"</formula>
    </cfRule>
  </conditionalFormatting>
  <conditionalFormatting sqref="BP1:BV1048576">
    <cfRule type="containsText" dxfId="91" priority="15" stopIfTrue="1" operator="containsText" text="确认需要">
      <formula>NOT(ISERROR(SEARCH("确认需要",BP1)))</formula>
    </cfRule>
    <cfRule type="cellIs" dxfId="90" priority="16" stopIfTrue="1" operator="equal">
      <formula>"确认需要"</formula>
    </cfRule>
  </conditionalFormatting>
  <conditionalFormatting sqref="BR5:BR263">
    <cfRule type="expression" dxfId="89" priority="28" stopIfTrue="1">
      <formula>IF(#REF!="完成",1,0)</formula>
    </cfRule>
  </conditionalFormatting>
  <conditionalFormatting sqref="BS3:BT3 BS5:BV263">
    <cfRule type="cellIs" dxfId="88" priority="20" stopIfTrue="1" operator="equal">
      <formula>"确认需要"</formula>
    </cfRule>
  </conditionalFormatting>
  <conditionalFormatting sqref="BS4:BU4">
    <cfRule type="containsText" dxfId="87" priority="3" stopIfTrue="1" operator="containsText" text="确认需要">
      <formula>NOT(ISERROR(SEARCH("确认需要",BS4)))</formula>
    </cfRule>
    <cfRule type="cellIs" dxfId="86" priority="4" stopIfTrue="1" operator="equal">
      <formula>"确认需要"</formula>
    </cfRule>
  </conditionalFormatting>
  <conditionalFormatting sqref="BS5:BV263 BS3:BT3">
    <cfRule type="containsText" dxfId="85" priority="18" stopIfTrue="1" operator="containsText" text="确认需要">
      <formula>NOT(ISERROR(SEARCH("确认需要",BS3)))</formula>
    </cfRule>
  </conditionalFormatting>
  <conditionalFormatting sqref="BU5:BV263">
    <cfRule type="expression" dxfId="84" priority="17" stopIfTrue="1">
      <formula>IF(#REF!="完成",1,0)</formula>
    </cfRule>
  </conditionalFormatting>
  <dataValidations count="9">
    <dataValidation type="list" allowBlank="1" showErrorMessage="1" sqref="X5:X262" xr:uid="{00000000-0002-0000-0000-000000000000}">
      <formula1>"无锡,苏州,北京"</formula1>
    </dataValidation>
    <dataValidation type="list" allowBlank="1" showErrorMessage="1" sqref="AF5:AF262 AP5:AP262" xr:uid="{00000000-0002-0000-0000-000001000000}">
      <formula1>"通过"</formula1>
    </dataValidation>
    <dataValidation type="list" allowBlank="1" showErrorMessage="1" sqref="L5:L262" xr:uid="{00000000-0002-0000-0000-000002000000}">
      <formula1>"有,无"</formula1>
    </dataValidation>
    <dataValidation type="list" allowBlank="1" showErrorMessage="1" sqref="R5:R262 S5:S262 M5:M262 O5:O262 Q5:Q262 P5:P262 N5:N262 T5:T262" xr:uid="{00000000-0002-0000-0000-000003000000}">
      <formula1>"O"</formula1>
    </dataValidation>
    <dataValidation type="list" allowBlank="1" showErrorMessage="1" sqref="H5:H262" xr:uid="{00000000-0002-0000-0000-000004000000}">
      <formula1>"确定,未确定"</formula1>
    </dataValidation>
    <dataValidation type="list" allowBlank="1" showErrorMessage="1" sqref="G5:G262" xr:uid="{00000000-0002-0000-0000-000005000000}">
      <formula1>"重点,次重点,非重点"</formula1>
    </dataValidation>
    <dataValidation type="list" allowBlank="1" showErrorMessage="1" sqref="AE5:AE262 AD5:AD262 Y5:Y262 AN5:AN262 AO5:AO262" xr:uid="{00000000-0002-0000-0000-000006000000}">
      <formula1>"完成,未完成"</formula1>
    </dataValidation>
    <dataValidation type="list" allowBlank="1" showErrorMessage="1" sqref="I5:I262" xr:uid="{00000000-0002-0000-0000-000007000000}">
      <formula1>"Phase1,Phase2"</formula1>
    </dataValidation>
    <dataValidation type="list" allowBlank="1" showErrorMessage="1" sqref="Z5:Z262" xr:uid="{00000000-0002-0000-0000-000008000000}">
      <formula1>"通过,修改,重新做,新增"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A173-EC27-41AC-BA15-C0E0E050872C}">
  <dimension ref="B1:M23"/>
  <sheetViews>
    <sheetView showGridLines="0" workbookViewId="0"/>
  </sheetViews>
  <sheetFormatPr defaultColWidth="14" defaultRowHeight="13" x14ac:dyDescent="0.3"/>
  <cols>
    <col min="1" max="1" width="8" customWidth="1"/>
    <col min="2" max="2" width="20" customWidth="1"/>
    <col min="3" max="3" width="24" customWidth="1"/>
    <col min="4" max="4" width="21" customWidth="1"/>
    <col min="5" max="5" width="23" customWidth="1"/>
    <col min="6" max="7" width="25" customWidth="1"/>
    <col min="8" max="13" width="17" customWidth="1"/>
    <col min="14" max="19" width="11" customWidth="1"/>
  </cols>
  <sheetData>
    <row r="1" spans="2:13" ht="17" customHeight="1" x14ac:dyDescent="0.3"/>
    <row r="2" spans="2:13" ht="31" customHeight="1" x14ac:dyDescent="0.3">
      <c r="B2" s="40" t="s">
        <v>9</v>
      </c>
      <c r="C2" s="39"/>
      <c r="D2" s="39"/>
      <c r="E2" s="39"/>
      <c r="F2" s="39"/>
      <c r="G2" s="39"/>
      <c r="H2" s="39"/>
      <c r="I2" s="39"/>
    </row>
    <row r="3" spans="2:13" ht="21" customHeight="1" x14ac:dyDescent="0.3">
      <c r="B3" s="75" t="s">
        <v>499</v>
      </c>
      <c r="C3" s="75" t="s">
        <v>500</v>
      </c>
      <c r="D3" s="75" t="s">
        <v>501</v>
      </c>
      <c r="E3" s="76" t="s">
        <v>47</v>
      </c>
      <c r="F3" s="75" t="s">
        <v>502</v>
      </c>
      <c r="G3" s="75"/>
      <c r="H3" s="37"/>
      <c r="I3" s="37"/>
      <c r="J3" s="37"/>
      <c r="K3" s="37"/>
      <c r="L3" s="37"/>
      <c r="M3" s="37"/>
    </row>
    <row r="4" spans="2:13" ht="21" customHeight="1" x14ac:dyDescent="0.3">
      <c r="B4" s="75"/>
      <c r="C4" s="75"/>
      <c r="D4" s="75"/>
      <c r="E4" s="76"/>
      <c r="F4" s="37" t="s">
        <v>503</v>
      </c>
      <c r="G4" s="37" t="s">
        <v>504</v>
      </c>
      <c r="H4" s="38" t="s">
        <v>47</v>
      </c>
      <c r="I4" s="38" t="s">
        <v>4</v>
      </c>
      <c r="J4" s="38" t="s">
        <v>5</v>
      </c>
      <c r="K4" s="38" t="s">
        <v>7</v>
      </c>
      <c r="L4" s="38" t="s">
        <v>8</v>
      </c>
      <c r="M4" s="38" t="s">
        <v>6</v>
      </c>
    </row>
    <row r="5" spans="2:13" ht="21" customHeight="1" x14ac:dyDescent="0.3">
      <c r="B5" s="30" t="s">
        <v>75</v>
      </c>
      <c r="C5" s="30">
        <f>SUMIF('cvMES Function List 定义'!$K:$K,$B5,'cvMES Function List 定义'!$B:$B)</f>
        <v>29</v>
      </c>
      <c r="D5" s="30">
        <f>SUMIF('cvMES Function List 定义'!$K:$K,$B5,'cvMES Function List 定义'!$C:$C)</f>
        <v>0</v>
      </c>
      <c r="E5" s="30">
        <f>COUNTIFS('cvMES Function List 定义'!$K:$K,$B5,'cvMES Function List 定义'!L:L,$H$4)</f>
        <v>18</v>
      </c>
      <c r="F5" s="31">
        <f t="shared" ref="F5:F23" si="0">IF(ISERROR(E5/C5),"",E5/C5)</f>
        <v>0.62068965517241381</v>
      </c>
      <c r="G5" s="31" t="e">
        <f t="shared" ref="G5:G23" si="1">E5/D5</f>
        <v>#DIV/0!</v>
      </c>
      <c r="H5" s="30">
        <f>SUMIFS('cvMES Function List 定义'!$D:$D,'cvMES Function List 定义'!$K:$K,$B5,'cvMES Function List 定义'!$L:$L,H$4)</f>
        <v>18</v>
      </c>
      <c r="I5" s="30">
        <f>SUMIFS('cvMES Function List 定义'!$D:$D,'cvMES Function List 定义'!$K:$K,$B5,'cvMES Function List 定义'!$L:$L,I$4)</f>
        <v>1</v>
      </c>
      <c r="J5" s="30">
        <f>SUMIFS('cvMES Function List 定义'!$D:$D,'cvMES Function List 定义'!$K:$K,$B5,'cvMES Function List 定义'!$L:$L,J$4)</f>
        <v>1</v>
      </c>
      <c r="K5" s="30">
        <f>SUMIFS('cvMES Function List 定义'!$D:$D,'cvMES Function List 定义'!$K:$K,$B5,'cvMES Function List 定义'!$L:$L,K$4)</f>
        <v>0</v>
      </c>
      <c r="L5" s="30">
        <f>SUMIFS('cvMES Function List 定义'!$D:$D,'cvMES Function List 定义'!$K:$K,$B5,'cvMES Function List 定义'!$L:$L,L$4)</f>
        <v>0</v>
      </c>
      <c r="M5" s="30">
        <f>SUMIFS('cvMES Function List 定义'!$D:$D,'cvMES Function List 定义'!$K:$K,$B5,'cvMES Function List 定义'!$L:$L,M$4)</f>
        <v>3</v>
      </c>
    </row>
    <row r="6" spans="2:13" ht="21" customHeight="1" x14ac:dyDescent="0.3">
      <c r="B6" s="30" t="s">
        <v>118</v>
      </c>
      <c r="C6" s="30">
        <f>SUMIF('cvMES Function List 定义'!$K:$K,$B6,'cvMES Function List 定义'!$B:$B)</f>
        <v>37</v>
      </c>
      <c r="D6" s="30">
        <f>SUMIF('cvMES Function List 定义'!$K:$K,$B6,'cvMES Function List 定义'!$C:$C)</f>
        <v>0</v>
      </c>
      <c r="E6" s="30">
        <f>COUNTIFS('cvMES Function List 定义'!$K:$K,$B6,'cvMES Function List 定义'!L:L,$H$4)</f>
        <v>12</v>
      </c>
      <c r="F6" s="31">
        <f t="shared" si="0"/>
        <v>0.32432432432432434</v>
      </c>
      <c r="G6" s="31" t="e">
        <f t="shared" si="1"/>
        <v>#DIV/0!</v>
      </c>
      <c r="H6" s="30">
        <f>SUMIFS('cvMES Function List 定义'!$D:$D,'cvMES Function List 定义'!$K:$K,$B6,'cvMES Function List 定义'!$L:$L,H$4)</f>
        <v>12</v>
      </c>
      <c r="I6" s="30">
        <f>SUMIFS('cvMES Function List 定义'!$D:$D,'cvMES Function List 定义'!$K:$K,$B6,'cvMES Function List 定义'!$L:$L,I$4)</f>
        <v>0</v>
      </c>
      <c r="J6" s="30">
        <f>SUMIFS('cvMES Function List 定义'!$D:$D,'cvMES Function List 定义'!$K:$K,$B6,'cvMES Function List 定义'!$L:$L,J$4)</f>
        <v>0</v>
      </c>
      <c r="K6" s="30">
        <f>SUMIFS('cvMES Function List 定义'!$D:$D,'cvMES Function List 定义'!$K:$K,$B6,'cvMES Function List 定义'!$L:$L,K$4)</f>
        <v>0</v>
      </c>
      <c r="L6" s="30">
        <f>SUMIFS('cvMES Function List 定义'!$D:$D,'cvMES Function List 定义'!$K:$K,$B6,'cvMES Function List 定义'!$L:$L,L$4)</f>
        <v>0</v>
      </c>
      <c r="M6" s="30">
        <f>SUMIFS('cvMES Function List 定义'!$D:$D,'cvMES Function List 定义'!$K:$K,$B6,'cvMES Function List 定义'!$L:$L,M$4)</f>
        <v>0</v>
      </c>
    </row>
    <row r="7" spans="2:13" ht="21" customHeight="1" x14ac:dyDescent="0.3">
      <c r="B7" s="30" t="s">
        <v>161</v>
      </c>
      <c r="C7" s="30">
        <f>SUMIF('cvMES Function List 定义'!$K:$K,$B7,'cvMES Function List 定义'!$B:$B)</f>
        <v>105</v>
      </c>
      <c r="D7" s="30">
        <f>SUMIF('cvMES Function List 定义'!$K:$K,$B7,'cvMES Function List 定义'!$C:$C)</f>
        <v>0</v>
      </c>
      <c r="E7" s="30">
        <f>COUNTIFS('cvMES Function List 定义'!$K:$K,$B7,'cvMES Function List 定义'!L:L,$H$4)</f>
        <v>80</v>
      </c>
      <c r="F7" s="31">
        <f t="shared" si="0"/>
        <v>0.76190476190476186</v>
      </c>
      <c r="G7" s="31" t="e">
        <f t="shared" si="1"/>
        <v>#DIV/0!</v>
      </c>
      <c r="H7" s="30">
        <f>SUMIFS('cvMES Function List 定义'!$D:$D,'cvMES Function List 定义'!$K:$K,$B7,'cvMES Function List 定义'!$L:$L,H$4)</f>
        <v>78</v>
      </c>
      <c r="I7" s="30">
        <f>SUMIFS('cvMES Function List 定义'!$D:$D,'cvMES Function List 定义'!$K:$K,$B7,'cvMES Function List 定义'!$L:$L,I$4)</f>
        <v>0</v>
      </c>
      <c r="J7" s="30">
        <f>SUMIFS('cvMES Function List 定义'!$D:$D,'cvMES Function List 定义'!$K:$K,$B7,'cvMES Function List 定义'!$L:$L,J$4)</f>
        <v>0</v>
      </c>
      <c r="K7" s="30">
        <f>SUMIFS('cvMES Function List 定义'!$D:$D,'cvMES Function List 定义'!$K:$K,$B7,'cvMES Function List 定义'!$L:$L,K$4)</f>
        <v>0</v>
      </c>
      <c r="L7" s="30">
        <f>SUMIFS('cvMES Function List 定义'!$D:$D,'cvMES Function List 定义'!$K:$K,$B7,'cvMES Function List 定义'!$L:$L,L$4)</f>
        <v>0</v>
      </c>
      <c r="M7" s="30">
        <f>SUMIFS('cvMES Function List 定义'!$D:$D,'cvMES Function List 定义'!$K:$K,$B7,'cvMES Function List 定义'!$L:$L,M$4)</f>
        <v>2</v>
      </c>
    </row>
    <row r="8" spans="2:13" ht="21" customHeight="1" x14ac:dyDescent="0.3">
      <c r="B8" s="30" t="s">
        <v>239</v>
      </c>
      <c r="C8" s="30">
        <f>SUMIF('cvMES Function List 定义'!$K:$K,$B8,'cvMES Function List 定义'!$B:$B)</f>
        <v>10</v>
      </c>
      <c r="D8" s="30">
        <f>SUMIF('cvMES Function List 定义'!$K:$K,$B8,'cvMES Function List 定义'!$C:$C)</f>
        <v>0</v>
      </c>
      <c r="E8" s="30">
        <f>COUNTIFS('cvMES Function List 定义'!$K:$K,$B8,'cvMES Function List 定义'!L:L,$H$4)</f>
        <v>10</v>
      </c>
      <c r="F8" s="31">
        <f t="shared" si="0"/>
        <v>1</v>
      </c>
      <c r="G8" s="31" t="e">
        <f t="shared" si="1"/>
        <v>#DIV/0!</v>
      </c>
      <c r="H8" s="30">
        <f>SUMIFS('cvMES Function List 定义'!$D:$D,'cvMES Function List 定义'!$K:$K,$B8,'cvMES Function List 定义'!$L:$L,H$4)</f>
        <v>10</v>
      </c>
      <c r="I8" s="30">
        <f>SUMIFS('cvMES Function List 定义'!$D:$D,'cvMES Function List 定义'!$K:$K,$B8,'cvMES Function List 定义'!$L:$L,I$4)</f>
        <v>0</v>
      </c>
      <c r="J8" s="30">
        <f>SUMIFS('cvMES Function List 定义'!$D:$D,'cvMES Function List 定义'!$K:$K,$B8,'cvMES Function List 定义'!$L:$L,J$4)</f>
        <v>0</v>
      </c>
      <c r="K8" s="30">
        <f>SUMIFS('cvMES Function List 定义'!$D:$D,'cvMES Function List 定义'!$K:$K,$B8,'cvMES Function List 定义'!$L:$L,K$4)</f>
        <v>0</v>
      </c>
      <c r="L8" s="30">
        <f>SUMIFS('cvMES Function List 定义'!$D:$D,'cvMES Function List 定义'!$K:$K,$B8,'cvMES Function List 定义'!$L:$L,L$4)</f>
        <v>0</v>
      </c>
      <c r="M8" s="30">
        <f>SUMIFS('cvMES Function List 定义'!$D:$D,'cvMES Function List 定义'!$K:$K,$B8,'cvMES Function List 定义'!$L:$L,M$4)</f>
        <v>0</v>
      </c>
    </row>
    <row r="9" spans="2:13" ht="21" customHeight="1" x14ac:dyDescent="0.3">
      <c r="B9" s="30" t="s">
        <v>248</v>
      </c>
      <c r="C9" s="30">
        <f>SUMIF('cvMES Function List 定义'!$K:$K,$B9,'cvMES Function List 定义'!$B:$B)</f>
        <v>66</v>
      </c>
      <c r="D9" s="30">
        <f>SUMIF('cvMES Function List 定义'!$K:$K,$B9,'cvMES Function List 定义'!$C:$C)</f>
        <v>0</v>
      </c>
      <c r="E9" s="30">
        <f>COUNTIFS('cvMES Function List 定义'!$K:$K,$B9,'cvMES Function List 定义'!L:L,$H$4)</f>
        <v>59</v>
      </c>
      <c r="F9" s="31">
        <f t="shared" si="0"/>
        <v>0.89393939393939392</v>
      </c>
      <c r="G9" s="31" t="e">
        <f t="shared" si="1"/>
        <v>#DIV/0!</v>
      </c>
      <c r="H9" s="30">
        <f>SUMIFS('cvMES Function List 定义'!$D:$D,'cvMES Function List 定义'!$K:$K,$B9,'cvMES Function List 定义'!$L:$L,H$4)</f>
        <v>52</v>
      </c>
      <c r="I9" s="30">
        <f>SUMIFS('cvMES Function List 定义'!$D:$D,'cvMES Function List 定义'!$K:$K,$B9,'cvMES Function List 定义'!$L:$L,I$4)</f>
        <v>0</v>
      </c>
      <c r="J9" s="30">
        <f>SUMIFS('cvMES Function List 定义'!$D:$D,'cvMES Function List 定义'!$K:$K,$B9,'cvMES Function List 定义'!$L:$L,J$4)</f>
        <v>2</v>
      </c>
      <c r="K9" s="30">
        <f>SUMIFS('cvMES Function List 定义'!$D:$D,'cvMES Function List 定义'!$K:$K,$B9,'cvMES Function List 定义'!$L:$L,K$4)</f>
        <v>0</v>
      </c>
      <c r="L9" s="30">
        <f>SUMIFS('cvMES Function List 定义'!$D:$D,'cvMES Function List 定义'!$K:$K,$B9,'cvMES Function List 定义'!$L:$L,L$4)</f>
        <v>1</v>
      </c>
      <c r="M9" s="30">
        <f>SUMIFS('cvMES Function List 定义'!$D:$D,'cvMES Function List 定义'!$K:$K,$B9,'cvMES Function List 定义'!$L:$L,M$4)</f>
        <v>1</v>
      </c>
    </row>
    <row r="10" spans="2:13" ht="21" customHeight="1" x14ac:dyDescent="0.3">
      <c r="B10" s="30" t="s">
        <v>299</v>
      </c>
      <c r="C10" s="30">
        <f>SUMIF('cvMES Function List 定义'!$K:$K,$B10,'cvMES Function List 定义'!$B:$B)</f>
        <v>6</v>
      </c>
      <c r="D10" s="30">
        <v>3</v>
      </c>
      <c r="E10" s="30">
        <f>COUNTIFS('cvMES Function List 定义'!$K:$K,$B10,'cvMES Function List 定义'!L:L,$H$4)</f>
        <v>3</v>
      </c>
      <c r="F10" s="31">
        <f t="shared" si="0"/>
        <v>0.5</v>
      </c>
      <c r="G10" s="31">
        <f t="shared" si="1"/>
        <v>1</v>
      </c>
      <c r="H10" s="30">
        <f>SUMIFS('cvMES Function List 定义'!$D:$D,'cvMES Function List 定义'!$K:$K,$B10,'cvMES Function List 定义'!$L:$L,H$4)</f>
        <v>3</v>
      </c>
      <c r="I10" s="30">
        <f>SUMIFS('cvMES Function List 定义'!$D:$D,'cvMES Function List 定义'!$K:$K,$B10,'cvMES Function List 定义'!$L:$L,I$4)</f>
        <v>0</v>
      </c>
      <c r="J10" s="30">
        <f>SUMIFS('cvMES Function List 定义'!$D:$D,'cvMES Function List 定义'!$K:$K,$B10,'cvMES Function List 定义'!$L:$L,J$4)</f>
        <v>0</v>
      </c>
      <c r="K10" s="30">
        <f>SUMIFS('cvMES Function List 定义'!$D:$D,'cvMES Function List 定义'!$K:$K,$B10,'cvMES Function List 定义'!$L:$L,K$4)</f>
        <v>0</v>
      </c>
      <c r="L10" s="30">
        <f>SUMIFS('cvMES Function List 定义'!$D:$D,'cvMES Function List 定义'!$K:$K,$B10,'cvMES Function List 定义'!$L:$L,L$4)</f>
        <v>0</v>
      </c>
      <c r="M10" s="30">
        <f>SUMIFS('cvMES Function List 定义'!$D:$D,'cvMES Function List 定义'!$K:$K,$B10,'cvMES Function List 定义'!$L:$L,M$4)</f>
        <v>0</v>
      </c>
    </row>
    <row r="11" spans="2:13" ht="21" customHeight="1" x14ac:dyDescent="0.3">
      <c r="B11" s="30" t="s">
        <v>305</v>
      </c>
      <c r="C11" s="30">
        <f>SUMIF('cvMES Function List 定义'!$K:$K,$B11,'cvMES Function List 定义'!$B:$B)</f>
        <v>23</v>
      </c>
      <c r="D11" s="30">
        <f>SUMIF('cvMES Function List 定义'!$K:$K,$B11,'cvMES Function List 定义'!$C:$C)</f>
        <v>0</v>
      </c>
      <c r="E11" s="30">
        <f>COUNTIFS('cvMES Function List 定义'!$K:$K,$B11,'cvMES Function List 定义'!L:L,$H$4)</f>
        <v>23</v>
      </c>
      <c r="F11" s="31">
        <f t="shared" si="0"/>
        <v>1</v>
      </c>
      <c r="G11" s="31" t="e">
        <f t="shared" si="1"/>
        <v>#DIV/0!</v>
      </c>
      <c r="H11" s="30">
        <f>SUMIFS('cvMES Function List 定义'!$D:$D,'cvMES Function List 定义'!$K:$K,$B11,'cvMES Function List 定义'!$L:$L,H$4)</f>
        <v>23</v>
      </c>
      <c r="I11" s="30">
        <f>SUMIFS('cvMES Function List 定义'!$D:$D,'cvMES Function List 定义'!$K:$K,$B11,'cvMES Function List 定义'!$L:$L,I$4)</f>
        <v>0</v>
      </c>
      <c r="J11" s="30">
        <f>SUMIFS('cvMES Function List 定义'!$D:$D,'cvMES Function List 定义'!$K:$K,$B11,'cvMES Function List 定义'!$L:$L,J$4)</f>
        <v>0</v>
      </c>
      <c r="K11" s="30">
        <f>SUMIFS('cvMES Function List 定义'!$D:$D,'cvMES Function List 定义'!$K:$K,$B11,'cvMES Function List 定义'!$L:$L,K$4)</f>
        <v>0</v>
      </c>
      <c r="L11" s="30">
        <f>SUMIFS('cvMES Function List 定义'!$D:$D,'cvMES Function List 定义'!$K:$K,$B11,'cvMES Function List 定义'!$L:$L,L$4)</f>
        <v>0</v>
      </c>
      <c r="M11" s="30">
        <f>SUMIFS('cvMES Function List 定义'!$D:$D,'cvMES Function List 定义'!$K:$K,$B11,'cvMES Function List 定义'!$L:$L,M$4)</f>
        <v>0</v>
      </c>
    </row>
    <row r="12" spans="2:13" ht="21" customHeight="1" x14ac:dyDescent="0.3">
      <c r="B12" s="30" t="s">
        <v>376</v>
      </c>
      <c r="C12" s="30">
        <f>SUMIF('cvMES Function List 定义'!$K:$K,$B12,'cvMES Function List 定义'!$B:$B)</f>
        <v>63</v>
      </c>
      <c r="D12" s="30">
        <f>SUMIF('cvMES Function List 定义'!$K:$K,$B12,'cvMES Function List 定义'!$C:$C)</f>
        <v>0</v>
      </c>
      <c r="E12" s="30">
        <f>COUNTIFS('cvMES Function List 定义'!$K:$K,$B12,'cvMES Function List 定义'!L:L,$H$4)</f>
        <v>30</v>
      </c>
      <c r="F12" s="31">
        <f t="shared" si="0"/>
        <v>0.47619047619047616</v>
      </c>
      <c r="G12" s="31" t="e">
        <f t="shared" si="1"/>
        <v>#DIV/0!</v>
      </c>
      <c r="H12" s="30">
        <f>SUMIFS('cvMES Function List 定义'!$D:$D,'cvMES Function List 定义'!$K:$K,$B12,'cvMES Function List 定义'!$L:$L,H$4)</f>
        <v>30</v>
      </c>
      <c r="I12" s="30">
        <f>SUMIFS('cvMES Function List 定义'!$D:$D,'cvMES Function List 定义'!$K:$K,$B12,'cvMES Function List 定义'!$L:$L,I$4)</f>
        <v>0</v>
      </c>
      <c r="J12" s="30">
        <f>SUMIFS('cvMES Function List 定义'!$D:$D,'cvMES Function List 定义'!$K:$K,$B12,'cvMES Function List 定义'!$L:$L,J$4)</f>
        <v>0</v>
      </c>
      <c r="K12" s="30">
        <f>SUMIFS('cvMES Function List 定义'!$D:$D,'cvMES Function List 定义'!$K:$K,$B12,'cvMES Function List 定义'!$L:$L,K$4)</f>
        <v>0</v>
      </c>
      <c r="L12" s="30">
        <f>SUMIFS('cvMES Function List 定义'!$D:$D,'cvMES Function List 定义'!$K:$K,$B12,'cvMES Function List 定义'!$L:$L,L$4)</f>
        <v>0</v>
      </c>
      <c r="M12" s="30">
        <f>SUMIFS('cvMES Function List 定义'!$D:$D,'cvMES Function List 定义'!$K:$K,$B12,'cvMES Function List 定义'!$L:$L,M$4)</f>
        <v>2</v>
      </c>
    </row>
    <row r="13" spans="2:13" ht="21" customHeight="1" x14ac:dyDescent="0.3">
      <c r="B13" s="30" t="s">
        <v>446</v>
      </c>
      <c r="C13" s="30">
        <f>SUMIF('cvMES Function List 定义'!$K:$K,$B13,'cvMES Function List 定义'!$B:$B)</f>
        <v>16</v>
      </c>
      <c r="D13" s="30">
        <f>SUMIF('cvMES Function List 定义'!$K:$K,$B13,'cvMES Function List 定义'!$C:$C)</f>
        <v>0</v>
      </c>
      <c r="E13" s="30">
        <f>COUNTIFS('cvMES Function List 定义'!$K:$K,$B13,'cvMES Function List 定义'!L:L,$H$4)</f>
        <v>10</v>
      </c>
      <c r="F13" s="31">
        <f t="shared" si="0"/>
        <v>0.625</v>
      </c>
      <c r="G13" s="31" t="e">
        <f t="shared" si="1"/>
        <v>#DIV/0!</v>
      </c>
      <c r="H13" s="30">
        <f>SUMIFS('cvMES Function List 定义'!$D:$D,'cvMES Function List 定义'!$K:$K,$B13,'cvMES Function List 定义'!$L:$L,H$4)</f>
        <v>10</v>
      </c>
      <c r="I13" s="30">
        <f>SUMIFS('cvMES Function List 定义'!$D:$D,'cvMES Function List 定义'!$K:$K,$B13,'cvMES Function List 定义'!$L:$L,I$4)</f>
        <v>0</v>
      </c>
      <c r="J13" s="30">
        <f>SUMIFS('cvMES Function List 定义'!$D:$D,'cvMES Function List 定义'!$K:$K,$B13,'cvMES Function List 定义'!$L:$L,J$4)</f>
        <v>0</v>
      </c>
      <c r="K13" s="30">
        <f>SUMIFS('cvMES Function List 定义'!$D:$D,'cvMES Function List 定义'!$K:$K,$B13,'cvMES Function List 定义'!$L:$L,K$4)</f>
        <v>2</v>
      </c>
      <c r="L13" s="30">
        <f>SUMIFS('cvMES Function List 定义'!$D:$D,'cvMES Function List 定义'!$K:$K,$B13,'cvMES Function List 定义'!$L:$L,L$4)</f>
        <v>0</v>
      </c>
      <c r="M13" s="30">
        <f>SUMIFS('cvMES Function List 定义'!$D:$D,'cvMES Function List 定义'!$K:$K,$B13,'cvMES Function List 定义'!$L:$L,M$4)</f>
        <v>0</v>
      </c>
    </row>
    <row r="14" spans="2:13" ht="21" customHeight="1" x14ac:dyDescent="0.3">
      <c r="B14" s="32" t="s">
        <v>65</v>
      </c>
      <c r="C14" s="32">
        <f>SUM(C5:C13)</f>
        <v>355</v>
      </c>
      <c r="D14" s="32">
        <f>SUM(D5:D13)</f>
        <v>3</v>
      </c>
      <c r="E14" s="32">
        <f>SUM(E5:E13)</f>
        <v>245</v>
      </c>
      <c r="F14" s="33">
        <f t="shared" si="0"/>
        <v>0.6901408450704225</v>
      </c>
      <c r="G14" s="33">
        <f t="shared" si="1"/>
        <v>81.666666666666671</v>
      </c>
      <c r="H14" s="32">
        <f t="shared" ref="H14:M14" si="2">SUM(H5:H13)</f>
        <v>236</v>
      </c>
      <c r="I14" s="32">
        <f t="shared" si="2"/>
        <v>1</v>
      </c>
      <c r="J14" s="32">
        <f t="shared" si="2"/>
        <v>3</v>
      </c>
      <c r="K14" s="32">
        <f t="shared" si="2"/>
        <v>2</v>
      </c>
      <c r="L14" s="32">
        <f t="shared" si="2"/>
        <v>1</v>
      </c>
      <c r="M14" s="32">
        <f t="shared" si="2"/>
        <v>8</v>
      </c>
    </row>
    <row r="15" spans="2:13" ht="21" customHeight="1" x14ac:dyDescent="0.3">
      <c r="B15" s="34" t="s">
        <v>319</v>
      </c>
      <c r="C15" s="30">
        <f>SUMIF('cvMES Function List 定义'!$K:$K,$B15,'cvMES Function List 定义'!$B:$B)</f>
        <v>2</v>
      </c>
      <c r="D15" s="30">
        <f>SUMIF('cvMES Function List 定义'!$K:$K,$B15,'cvMES Function List 定义'!$C:$C)</f>
        <v>0</v>
      </c>
      <c r="E15" s="30">
        <f>COUNTIFS('cvMES Function List 定义'!$K:$K,$B15,'cvMES Function List 定义'!L:L,$H$4)</f>
        <v>1</v>
      </c>
      <c r="F15" s="31">
        <f t="shared" si="0"/>
        <v>0.5</v>
      </c>
      <c r="G15" s="31" t="e">
        <f t="shared" si="1"/>
        <v>#DIV/0!</v>
      </c>
      <c r="H15" s="30">
        <f>SUMIFS('cvMES Function List 定义'!$D:$D,'cvMES Function List 定义'!$K:$K,$B15,'cvMES Function List 定义'!$L:$L,H$4)</f>
        <v>0</v>
      </c>
      <c r="I15" s="30">
        <f>SUMIFS('cvMES Function List 定义'!$D:$D,'cvMES Function List 定义'!$K:$K,$B15,'cvMES Function List 定义'!$L:$L,I$4)</f>
        <v>0</v>
      </c>
      <c r="J15" s="30">
        <f>SUMIFS('cvMES Function List 定义'!$D:$D,'cvMES Function List 定义'!$K:$K,$B15,'cvMES Function List 定义'!$L:$L,J$4)</f>
        <v>0</v>
      </c>
      <c r="K15" s="30">
        <f>SUMIFS('cvMES Function List 定义'!$D:$D,'cvMES Function List 定义'!$K:$K,$B15,'cvMES Function List 定义'!$L:$L,K$4)</f>
        <v>0</v>
      </c>
      <c r="L15" s="30">
        <f>SUMIFS('cvMES Function List 定义'!$D:$D,'cvMES Function List 定义'!$K:$K,$B15,'cvMES Function List 定义'!$L:$L,L$4)</f>
        <v>0</v>
      </c>
      <c r="M15" s="30">
        <f>SUMIFS('cvMES Function List 定义'!$D:$D,'cvMES Function List 定义'!$K:$K,$B15,'cvMES Function List 定义'!$L:$L,M$4)</f>
        <v>0</v>
      </c>
    </row>
    <row r="16" spans="2:13" ht="21" customHeight="1" x14ac:dyDescent="0.3">
      <c r="B16" s="34" t="s">
        <v>321</v>
      </c>
      <c r="C16" s="30">
        <f>SUMIF('cvMES Function List 定义'!$K:$K,$B16,'cvMES Function List 定义'!$B:$B)</f>
        <v>36</v>
      </c>
      <c r="D16" s="30">
        <f>SUMIF('cvMES Function List 定义'!$K:$K,$B16,'cvMES Function List 定义'!$C:$C)</f>
        <v>0</v>
      </c>
      <c r="E16" s="30">
        <f>COUNTIFS('cvMES Function List 定义'!$K:$K,$B16,'cvMES Function List 定义'!L:L,$H$4)</f>
        <v>0</v>
      </c>
      <c r="F16" s="31">
        <f t="shared" si="0"/>
        <v>0</v>
      </c>
      <c r="G16" s="31" t="e">
        <f t="shared" si="1"/>
        <v>#DIV/0!</v>
      </c>
      <c r="H16" s="30">
        <f>SUMIFS('cvMES Function List 定义'!$D:$D,'cvMES Function List 定义'!$K:$K,$B16,'cvMES Function List 定义'!$L:$L,H$4)</f>
        <v>0</v>
      </c>
      <c r="I16" s="30">
        <f>SUMIFS('cvMES Function List 定义'!$D:$D,'cvMES Function List 定义'!$K:$K,$B16,'cvMES Function List 定义'!$L:$L,I$4)</f>
        <v>0</v>
      </c>
      <c r="J16" s="30">
        <f>SUMIFS('cvMES Function List 定义'!$D:$D,'cvMES Function List 定义'!$K:$K,$B16,'cvMES Function List 定义'!$L:$L,J$4)</f>
        <v>0</v>
      </c>
      <c r="K16" s="30">
        <f>SUMIFS('cvMES Function List 定义'!$D:$D,'cvMES Function List 定义'!$K:$K,$B16,'cvMES Function List 定义'!$L:$L,K$4)</f>
        <v>0</v>
      </c>
      <c r="L16" s="30">
        <f>SUMIFS('cvMES Function List 定义'!$D:$D,'cvMES Function List 定义'!$K:$K,$B16,'cvMES Function List 定义'!$L:$L,L$4)</f>
        <v>0</v>
      </c>
      <c r="M16" s="30">
        <f>SUMIFS('cvMES Function List 定义'!$D:$D,'cvMES Function List 定义'!$K:$K,$B16,'cvMES Function List 定义'!$L:$L,M$4)</f>
        <v>0</v>
      </c>
    </row>
    <row r="17" spans="2:13" ht="21" customHeight="1" x14ac:dyDescent="0.3">
      <c r="B17" s="34" t="s">
        <v>350</v>
      </c>
      <c r="C17" s="30">
        <f>SUMIF('cvMES Function List 定义'!$K:$K,$B17,'cvMES Function List 定义'!$B:$B)</f>
        <v>12</v>
      </c>
      <c r="D17" s="30">
        <f>SUMIF('cvMES Function List 定义'!$K:$K,$B17,'cvMES Function List 定义'!$C:$C)</f>
        <v>0</v>
      </c>
      <c r="E17" s="30">
        <f>COUNTIFS('cvMES Function List 定义'!$K:$K,$B17,'cvMES Function List 定义'!L:L,$H$4)</f>
        <v>0</v>
      </c>
      <c r="F17" s="31">
        <f t="shared" si="0"/>
        <v>0</v>
      </c>
      <c r="G17" s="31" t="e">
        <f t="shared" si="1"/>
        <v>#DIV/0!</v>
      </c>
      <c r="H17" s="30">
        <f>SUMIFS('cvMES Function List 定义'!$D:$D,'cvMES Function List 定义'!$K:$K,$B17,'cvMES Function List 定义'!$L:$L,H$4)</f>
        <v>0</v>
      </c>
      <c r="I17" s="30">
        <f>SUMIFS('cvMES Function List 定义'!$D:$D,'cvMES Function List 定义'!$K:$K,$B17,'cvMES Function List 定义'!$L:$L,I$4)</f>
        <v>0</v>
      </c>
      <c r="J17" s="30">
        <f>SUMIFS('cvMES Function List 定义'!$D:$D,'cvMES Function List 定义'!$K:$K,$B17,'cvMES Function List 定义'!$L:$L,J$4)</f>
        <v>0</v>
      </c>
      <c r="K17" s="30">
        <f>SUMIFS('cvMES Function List 定义'!$D:$D,'cvMES Function List 定义'!$K:$K,$B17,'cvMES Function List 定义'!$L:$L,K$4)</f>
        <v>0</v>
      </c>
      <c r="L17" s="30">
        <f>SUMIFS('cvMES Function List 定义'!$D:$D,'cvMES Function List 定义'!$K:$K,$B17,'cvMES Function List 定义'!$L:$L,L$4)</f>
        <v>0</v>
      </c>
      <c r="M17" s="30">
        <f>SUMIFS('cvMES Function List 定义'!$D:$D,'cvMES Function List 定义'!$K:$K,$B17,'cvMES Function List 定义'!$L:$L,M$4)</f>
        <v>0</v>
      </c>
    </row>
    <row r="18" spans="2:13" ht="21" customHeight="1" x14ac:dyDescent="0.3">
      <c r="B18" s="34" t="s">
        <v>362</v>
      </c>
      <c r="C18" s="30">
        <f>SUMIF('cvMES Function List 定义'!$K:$K,$B18,'cvMES Function List 定义'!$B:$B)</f>
        <v>10</v>
      </c>
      <c r="D18" s="30">
        <f>SUMIF('cvMES Function List 定义'!$K:$K,$B18,'cvMES Function List 定义'!$C:$C)</f>
        <v>0</v>
      </c>
      <c r="E18" s="30">
        <f>COUNTIFS('cvMES Function List 定义'!$K:$K,$B18,'cvMES Function List 定义'!L:L,$H$4)</f>
        <v>0</v>
      </c>
      <c r="F18" s="31">
        <f t="shared" si="0"/>
        <v>0</v>
      </c>
      <c r="G18" s="31" t="e">
        <f t="shared" si="1"/>
        <v>#DIV/0!</v>
      </c>
      <c r="H18" s="30">
        <f>SUMIFS('cvMES Function List 定义'!$D:$D,'cvMES Function List 定义'!$K:$K,$B18,'cvMES Function List 定义'!$L:$L,H$4)</f>
        <v>0</v>
      </c>
      <c r="I18" s="30">
        <f>SUMIFS('cvMES Function List 定义'!$D:$D,'cvMES Function List 定义'!$K:$K,$B18,'cvMES Function List 定义'!$L:$L,I$4)</f>
        <v>0</v>
      </c>
      <c r="J18" s="30">
        <f>SUMIFS('cvMES Function List 定义'!$D:$D,'cvMES Function List 定义'!$K:$K,$B18,'cvMES Function List 定义'!$L:$L,J$4)</f>
        <v>0</v>
      </c>
      <c r="K18" s="30">
        <f>SUMIFS('cvMES Function List 定义'!$D:$D,'cvMES Function List 定义'!$K:$K,$B18,'cvMES Function List 定义'!$L:$L,K$4)</f>
        <v>0</v>
      </c>
      <c r="L18" s="30">
        <f>SUMIFS('cvMES Function List 定义'!$D:$D,'cvMES Function List 定义'!$K:$K,$B18,'cvMES Function List 定义'!$L:$L,L$4)</f>
        <v>0</v>
      </c>
      <c r="M18" s="30">
        <f>SUMIFS('cvMES Function List 定义'!$D:$D,'cvMES Function List 定义'!$K:$K,$B18,'cvMES Function List 定义'!$L:$L,M$4)</f>
        <v>0</v>
      </c>
    </row>
    <row r="19" spans="2:13" ht="21" customHeight="1" x14ac:dyDescent="0.3">
      <c r="B19" s="34" t="s">
        <v>39</v>
      </c>
      <c r="C19" s="30">
        <f>SUMIF('cvMES Function List 定义'!$K:$K,$B19,'cvMES Function List 定义'!$B:$B)</f>
        <v>1</v>
      </c>
      <c r="D19" s="30">
        <f>SUMIF('cvMES Function List 定义'!$K:$K,$B19,'cvMES Function List 定义'!$C:$C)</f>
        <v>0</v>
      </c>
      <c r="E19" s="30">
        <f>COUNTIFS('cvMES Function List 定义'!$K:$K,$B19,'cvMES Function List 定义'!L:L,$H$4)</f>
        <v>0</v>
      </c>
      <c r="F19" s="31">
        <f t="shared" si="0"/>
        <v>0</v>
      </c>
      <c r="G19" s="31" t="e">
        <f t="shared" si="1"/>
        <v>#DIV/0!</v>
      </c>
      <c r="H19" s="30">
        <f>SUMIFS('cvMES Function List 定义'!$D:$D,'cvMES Function List 定义'!$K:$K,$B19,'cvMES Function List 定义'!$L:$L,H$4)</f>
        <v>0</v>
      </c>
      <c r="I19" s="30">
        <f>SUMIFS('cvMES Function List 定义'!$D:$D,'cvMES Function List 定义'!$K:$K,$B19,'cvMES Function List 定义'!$L:$L,I$4)</f>
        <v>0</v>
      </c>
      <c r="J19" s="30">
        <f>SUMIFS('cvMES Function List 定义'!$D:$D,'cvMES Function List 定义'!$K:$K,$B19,'cvMES Function List 定义'!$L:$L,J$4)</f>
        <v>0</v>
      </c>
      <c r="K19" s="30">
        <f>SUMIFS('cvMES Function List 定义'!$D:$D,'cvMES Function List 定义'!$K:$K,$B19,'cvMES Function List 定义'!$L:$L,K$4)</f>
        <v>0</v>
      </c>
      <c r="L19" s="30">
        <f>SUMIFS('cvMES Function List 定义'!$D:$D,'cvMES Function List 定义'!$K:$K,$B19,'cvMES Function List 定义'!$L:$L,L$4)</f>
        <v>0</v>
      </c>
      <c r="M19" s="30">
        <f>SUMIFS('cvMES Function List 定义'!$D:$D,'cvMES Function List 定义'!$K:$K,$B19,'cvMES Function List 定义'!$L:$L,M$4)</f>
        <v>0</v>
      </c>
    </row>
    <row r="20" spans="2:13" ht="21" customHeight="1" x14ac:dyDescent="0.3">
      <c r="B20" s="34" t="s">
        <v>476</v>
      </c>
      <c r="C20" s="30">
        <f>SUMIF('cvMES Function List 定义'!$K:$K,$B20,'cvMES Function List 定义'!$B:$B)</f>
        <v>11</v>
      </c>
      <c r="D20" s="30">
        <f>SUMIF('cvMES Function List 定义'!$K:$K,$B20,'cvMES Function List 定义'!$C:$C)</f>
        <v>0</v>
      </c>
      <c r="E20" s="30">
        <f>COUNTIFS('cvMES Function List 定义'!$K:$K,$B20,'cvMES Function List 定义'!L:L,$H$4)</f>
        <v>0</v>
      </c>
      <c r="F20" s="31">
        <f t="shared" si="0"/>
        <v>0</v>
      </c>
      <c r="G20" s="31" t="e">
        <f t="shared" si="1"/>
        <v>#DIV/0!</v>
      </c>
      <c r="H20" s="30">
        <f>SUMIFS('cvMES Function List 定义'!$D:$D,'cvMES Function List 定义'!$K:$K,$B20,'cvMES Function List 定义'!$L:$L,H$4)</f>
        <v>0</v>
      </c>
      <c r="I20" s="30">
        <f>SUMIFS('cvMES Function List 定义'!$D:$D,'cvMES Function List 定义'!$K:$K,$B20,'cvMES Function List 定义'!$L:$L,I$4)</f>
        <v>0</v>
      </c>
      <c r="J20" s="30">
        <f>SUMIFS('cvMES Function List 定义'!$D:$D,'cvMES Function List 定义'!$K:$K,$B20,'cvMES Function List 定义'!$L:$L,J$4)</f>
        <v>0</v>
      </c>
      <c r="K20" s="30">
        <f>SUMIFS('cvMES Function List 定义'!$D:$D,'cvMES Function List 定义'!$K:$K,$B20,'cvMES Function List 定义'!$L:$L,K$4)</f>
        <v>0</v>
      </c>
      <c r="L20" s="30">
        <f>SUMIFS('cvMES Function List 定义'!$D:$D,'cvMES Function List 定义'!$K:$K,$B20,'cvMES Function List 定义'!$L:$L,L$4)</f>
        <v>0</v>
      </c>
      <c r="M20" s="30">
        <f>SUMIFS('cvMES Function List 定义'!$D:$D,'cvMES Function List 定义'!$K:$K,$B20,'cvMES Function List 定义'!$L:$L,M$4)</f>
        <v>0</v>
      </c>
    </row>
    <row r="21" spans="2:13" ht="21" customHeight="1" x14ac:dyDescent="0.3">
      <c r="B21" s="34" t="s">
        <v>489</v>
      </c>
      <c r="C21" s="30">
        <f>SUMIF('cvMES Function List 定义'!$K:$K,$B21,'cvMES Function List 定义'!$B:$B)</f>
        <v>12</v>
      </c>
      <c r="D21" s="30">
        <f>SUMIF('cvMES Function List 定义'!$K:$K,$B21,'cvMES Function List 定义'!$C:$C)</f>
        <v>0</v>
      </c>
      <c r="E21" s="30">
        <f>COUNTIFS('cvMES Function List 定义'!$K:$K,$B21,'cvMES Function List 定义'!L:L,$H$4)</f>
        <v>0</v>
      </c>
      <c r="F21" s="31">
        <f t="shared" si="0"/>
        <v>0</v>
      </c>
      <c r="G21" s="31" t="e">
        <f t="shared" si="1"/>
        <v>#DIV/0!</v>
      </c>
      <c r="H21" s="30">
        <f>SUMIFS('cvMES Function List 定义'!$D:$D,'cvMES Function List 定义'!$K:$K,$B21,'cvMES Function List 定义'!$L:$L,H$4)</f>
        <v>0</v>
      </c>
      <c r="I21" s="30">
        <f>SUMIFS('cvMES Function List 定义'!$D:$D,'cvMES Function List 定义'!$K:$K,$B21,'cvMES Function List 定义'!$L:$L,I$4)</f>
        <v>0</v>
      </c>
      <c r="J21" s="30">
        <f>SUMIFS('cvMES Function List 定义'!$D:$D,'cvMES Function List 定义'!$K:$K,$B21,'cvMES Function List 定义'!$L:$L,J$4)</f>
        <v>0</v>
      </c>
      <c r="K21" s="30">
        <f>SUMIFS('cvMES Function List 定义'!$D:$D,'cvMES Function List 定义'!$K:$K,$B21,'cvMES Function List 定义'!$L:$L,K$4)</f>
        <v>0</v>
      </c>
      <c r="L21" s="30">
        <f>SUMIFS('cvMES Function List 定义'!$D:$D,'cvMES Function List 定义'!$K:$K,$B21,'cvMES Function List 定义'!$L:$L,L$4)</f>
        <v>0</v>
      </c>
      <c r="M21" s="30">
        <f>SUMIFS('cvMES Function List 定义'!$D:$D,'cvMES Function List 定义'!$K:$K,$B21,'cvMES Function List 定义'!$L:$L,M$4)</f>
        <v>0</v>
      </c>
    </row>
    <row r="22" spans="2:13" ht="21" customHeight="1" x14ac:dyDescent="0.3">
      <c r="B22" s="32" t="s">
        <v>147</v>
      </c>
      <c r="C22" s="32">
        <f>SUM(C15:C21)</f>
        <v>84</v>
      </c>
      <c r="D22" s="32">
        <f>SUM(D15:D21)</f>
        <v>0</v>
      </c>
      <c r="E22" s="32">
        <f>SUM(E15:E21)</f>
        <v>1</v>
      </c>
      <c r="F22" s="33">
        <f t="shared" si="0"/>
        <v>1.1904761904761904E-2</v>
      </c>
      <c r="G22" s="33" t="e">
        <f t="shared" si="1"/>
        <v>#DIV/0!</v>
      </c>
      <c r="H22" s="32">
        <f t="shared" ref="H22:M22" si="3">SUM(H15:H21)</f>
        <v>0</v>
      </c>
      <c r="I22" s="32">
        <f t="shared" si="3"/>
        <v>0</v>
      </c>
      <c r="J22" s="32">
        <f t="shared" si="3"/>
        <v>0</v>
      </c>
      <c r="K22" s="32">
        <f t="shared" si="3"/>
        <v>0</v>
      </c>
      <c r="L22" s="32">
        <f t="shared" si="3"/>
        <v>0</v>
      </c>
      <c r="M22" s="32">
        <f t="shared" si="3"/>
        <v>0</v>
      </c>
    </row>
    <row r="23" spans="2:13" ht="21" customHeight="1" x14ac:dyDescent="0.3">
      <c r="B23" s="35" t="s">
        <v>505</v>
      </c>
      <c r="C23" s="35">
        <f>C14+C22</f>
        <v>439</v>
      </c>
      <c r="D23" s="35">
        <f>D14+D22</f>
        <v>3</v>
      </c>
      <c r="E23" s="35">
        <f>E14+E22</f>
        <v>246</v>
      </c>
      <c r="F23" s="36">
        <f t="shared" si="0"/>
        <v>0.56036446469248291</v>
      </c>
      <c r="G23" s="36">
        <f t="shared" si="1"/>
        <v>82</v>
      </c>
      <c r="H23" s="35">
        <f t="shared" ref="H23:M23" si="4">H14+H22</f>
        <v>236</v>
      </c>
      <c r="I23" s="35">
        <f t="shared" si="4"/>
        <v>1</v>
      </c>
      <c r="J23" s="35">
        <f t="shared" si="4"/>
        <v>3</v>
      </c>
      <c r="K23" s="35">
        <f t="shared" si="4"/>
        <v>2</v>
      </c>
      <c r="L23" s="35">
        <f t="shared" si="4"/>
        <v>1</v>
      </c>
      <c r="M23" s="35">
        <f t="shared" si="4"/>
        <v>8</v>
      </c>
    </row>
  </sheetData>
  <mergeCells count="5">
    <mergeCell ref="F3:G3"/>
    <mergeCell ref="E3:E4"/>
    <mergeCell ref="B3:B4"/>
    <mergeCell ref="C3:C4"/>
    <mergeCell ref="D3:D4"/>
  </mergeCells>
  <phoneticPr fontId="7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A2F1-C140-4446-B227-61BBBE59EF50}">
  <dimension ref="A1:U5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14" defaultRowHeight="13" x14ac:dyDescent="0.3"/>
  <cols>
    <col min="1" max="4" width="2" customWidth="1"/>
    <col min="5" max="5" width="17" customWidth="1"/>
    <col min="6" max="6" width="21" customWidth="1"/>
    <col min="7" max="7" width="10" customWidth="1"/>
    <col min="8" max="8" width="48" customWidth="1"/>
    <col min="9" max="9" width="57" customWidth="1"/>
    <col min="10" max="10" width="37" customWidth="1"/>
    <col min="11" max="11" width="15" customWidth="1"/>
    <col min="12" max="12" width="16" customWidth="1"/>
    <col min="13" max="13" width="13" customWidth="1"/>
    <col min="14" max="14" width="39" customWidth="1"/>
    <col min="15" max="20" width="15" customWidth="1"/>
    <col min="21" max="21" width="38" customWidth="1"/>
  </cols>
  <sheetData>
    <row r="1" spans="1:21" ht="17" customHeight="1" x14ac:dyDescent="0.3">
      <c r="A1" s="46"/>
      <c r="B1" s="46"/>
      <c r="C1" s="46"/>
      <c r="D1" s="46"/>
      <c r="H1" s="27"/>
      <c r="I1" s="27"/>
      <c r="J1" s="27"/>
    </row>
    <row r="2" spans="1:21" ht="31" customHeight="1" x14ac:dyDescent="0.3">
      <c r="A2" s="46"/>
      <c r="B2" s="46"/>
      <c r="C2" s="46"/>
      <c r="D2" s="46"/>
      <c r="E2" s="51" t="s">
        <v>506</v>
      </c>
      <c r="H2" s="27"/>
      <c r="I2" s="27"/>
      <c r="J2" s="27"/>
    </row>
    <row r="3" spans="1:21" ht="31" customHeight="1" x14ac:dyDescent="0.3">
      <c r="A3" s="41"/>
      <c r="B3" s="41"/>
      <c r="C3" s="41"/>
      <c r="D3" s="41"/>
      <c r="E3" s="49" t="s">
        <v>507</v>
      </c>
      <c r="F3" s="49" t="s">
        <v>508</v>
      </c>
      <c r="G3" s="49" t="s">
        <v>509</v>
      </c>
      <c r="H3" s="50" t="s">
        <v>500</v>
      </c>
      <c r="I3" s="49" t="s">
        <v>510</v>
      </c>
      <c r="J3" s="49" t="s">
        <v>511</v>
      </c>
      <c r="K3" s="49" t="s">
        <v>15</v>
      </c>
      <c r="L3" s="48" t="s">
        <v>16</v>
      </c>
      <c r="M3" s="48" t="s">
        <v>512</v>
      </c>
      <c r="N3" s="48" t="s">
        <v>12</v>
      </c>
      <c r="O3" s="48" t="s">
        <v>13</v>
      </c>
      <c r="P3" s="48" t="s">
        <v>46</v>
      </c>
      <c r="Q3" s="48" t="s">
        <v>14</v>
      </c>
      <c r="R3" s="48" t="s">
        <v>513</v>
      </c>
      <c r="S3" s="48" t="s">
        <v>514</v>
      </c>
      <c r="T3" s="48" t="s">
        <v>47</v>
      </c>
      <c r="U3" s="48" t="s">
        <v>515</v>
      </c>
    </row>
    <row r="4" spans="1:21" ht="21" customHeight="1" x14ac:dyDescent="0.3">
      <c r="A4" s="44" t="str">
        <f t="shared" ref="A4:A67" si="0">B4&amp;D4</f>
        <v>11</v>
      </c>
      <c r="B4" s="41">
        <f t="shared" ref="B4:B67" si="1">IF(H4="","",1)</f>
        <v>1</v>
      </c>
      <c r="C4" s="41" t="str">
        <f t="shared" ref="C4:C67" si="2">IF(I4="","",1)</f>
        <v/>
      </c>
      <c r="D4" s="41">
        <f t="shared" ref="D4:D67" si="3">IF(J4="","",1)</f>
        <v>1</v>
      </c>
      <c r="E4" s="62" t="s">
        <v>73</v>
      </c>
      <c r="F4" s="1"/>
      <c r="G4" s="1">
        <v>1</v>
      </c>
      <c r="H4" s="4" t="s">
        <v>74</v>
      </c>
      <c r="I4" s="4" t="str">
        <f>IF(ISERROR(VLOOKUP(H4,#REF!,9,0)),"",VLOOKUP(H4,#REF!,9,0))</f>
        <v/>
      </c>
      <c r="J4" s="42" t="s">
        <v>74</v>
      </c>
      <c r="K4" s="1" t="s">
        <v>75</v>
      </c>
      <c r="L4" s="1" t="s">
        <v>516</v>
      </c>
      <c r="M4" s="43">
        <v>2022</v>
      </c>
      <c r="N4" s="42" t="s">
        <v>78</v>
      </c>
      <c r="O4" s="43" t="s">
        <v>79</v>
      </c>
      <c r="P4" s="43"/>
      <c r="Q4" s="43"/>
      <c r="R4" s="43"/>
      <c r="S4" s="43"/>
      <c r="T4" s="43"/>
      <c r="U4" s="42"/>
    </row>
    <row r="5" spans="1:21" ht="21" customHeight="1" x14ac:dyDescent="0.3">
      <c r="A5" s="44" t="str">
        <f t="shared" si="0"/>
        <v>11</v>
      </c>
      <c r="B5" s="41">
        <f t="shared" si="1"/>
        <v>1</v>
      </c>
      <c r="C5" s="41" t="str">
        <f t="shared" si="2"/>
        <v/>
      </c>
      <c r="D5" s="41">
        <f t="shared" si="3"/>
        <v>1</v>
      </c>
      <c r="E5" s="62"/>
      <c r="F5" s="1"/>
      <c r="G5" s="1">
        <v>2</v>
      </c>
      <c r="H5" s="4" t="s">
        <v>517</v>
      </c>
      <c r="I5" s="4" t="str">
        <f>IF(ISERROR(VLOOKUP(H5,#REF!,9,0)),"",VLOOKUP(H5,#REF!,9,0))</f>
        <v/>
      </c>
      <c r="J5" s="42" t="s">
        <v>517</v>
      </c>
      <c r="K5" s="1" t="s">
        <v>75</v>
      </c>
      <c r="L5" s="1" t="s">
        <v>47</v>
      </c>
      <c r="M5" s="43">
        <v>2022</v>
      </c>
      <c r="N5" s="42" t="s">
        <v>518</v>
      </c>
      <c r="O5" s="43" t="s">
        <v>79</v>
      </c>
      <c r="P5" s="43"/>
      <c r="Q5" s="43"/>
      <c r="R5" s="43"/>
      <c r="S5" s="43"/>
      <c r="T5" s="43"/>
      <c r="U5" s="42"/>
    </row>
    <row r="6" spans="1:21" ht="21" customHeight="1" x14ac:dyDescent="0.3">
      <c r="A6" s="44" t="str">
        <f t="shared" si="0"/>
        <v>1</v>
      </c>
      <c r="B6" s="41" t="str">
        <f t="shared" si="1"/>
        <v/>
      </c>
      <c r="C6" s="41" t="str">
        <f t="shared" si="2"/>
        <v/>
      </c>
      <c r="D6" s="41">
        <f t="shared" si="3"/>
        <v>1</v>
      </c>
      <c r="E6" s="62"/>
      <c r="F6" s="1"/>
      <c r="G6" s="1">
        <v>3</v>
      </c>
      <c r="H6" s="4"/>
      <c r="I6" s="4" t="str">
        <f>IF(ISERROR(VLOOKUP(H6,#REF!,9,0)),"",VLOOKUP(H6,#REF!,9,0))</f>
        <v/>
      </c>
      <c r="J6" s="42" t="s">
        <v>519</v>
      </c>
      <c r="K6" s="1" t="s">
        <v>75</v>
      </c>
      <c r="L6" s="1" t="s">
        <v>47</v>
      </c>
      <c r="M6" s="43">
        <v>2022</v>
      </c>
      <c r="N6" s="42" t="s">
        <v>520</v>
      </c>
      <c r="O6" s="43" t="s">
        <v>79</v>
      </c>
      <c r="P6" s="43"/>
      <c r="Q6" s="43"/>
      <c r="R6" s="43"/>
      <c r="S6" s="43"/>
      <c r="T6" s="43"/>
      <c r="U6" s="42"/>
    </row>
    <row r="7" spans="1:21" ht="21" customHeight="1" x14ac:dyDescent="0.3">
      <c r="A7" s="44" t="str">
        <f t="shared" si="0"/>
        <v>11</v>
      </c>
      <c r="B7" s="41">
        <f t="shared" si="1"/>
        <v>1</v>
      </c>
      <c r="C7" s="41" t="str">
        <f t="shared" si="2"/>
        <v/>
      </c>
      <c r="D7" s="41">
        <f t="shared" si="3"/>
        <v>1</v>
      </c>
      <c r="E7" s="62"/>
      <c r="F7" s="1"/>
      <c r="G7" s="1">
        <v>4</v>
      </c>
      <c r="H7" s="4" t="s">
        <v>82</v>
      </c>
      <c r="I7" s="4" t="str">
        <f>IF(ISERROR(VLOOKUP(H7,#REF!,9,0)),"",VLOOKUP(H7,#REF!,9,0))</f>
        <v/>
      </c>
      <c r="J7" s="42" t="s">
        <v>82</v>
      </c>
      <c r="K7" s="1" t="s">
        <v>75</v>
      </c>
      <c r="L7" s="1" t="s">
        <v>521</v>
      </c>
      <c r="M7" s="43">
        <v>2022</v>
      </c>
      <c r="N7" s="42" t="s">
        <v>84</v>
      </c>
      <c r="O7" s="43" t="s">
        <v>79</v>
      </c>
      <c r="P7" s="43"/>
      <c r="Q7" s="43"/>
      <c r="R7" s="43"/>
      <c r="S7" s="43"/>
      <c r="T7" s="43"/>
      <c r="U7" s="42"/>
    </row>
    <row r="8" spans="1:21" ht="21" customHeight="1" x14ac:dyDescent="0.3">
      <c r="A8" s="44" t="str">
        <f t="shared" si="0"/>
        <v>1</v>
      </c>
      <c r="B8" s="41">
        <f t="shared" si="1"/>
        <v>1</v>
      </c>
      <c r="C8" s="41" t="str">
        <f t="shared" si="2"/>
        <v/>
      </c>
      <c r="D8" s="41" t="str">
        <f t="shared" si="3"/>
        <v/>
      </c>
      <c r="E8" s="62"/>
      <c r="F8" s="1"/>
      <c r="G8" s="1">
        <v>5</v>
      </c>
      <c r="H8" s="4" t="s">
        <v>85</v>
      </c>
      <c r="I8" s="4" t="str">
        <f>IF(ISERROR(VLOOKUP(H8,#REF!,9,0)),"",VLOOKUP(H8,#REF!,9,0))</f>
        <v/>
      </c>
      <c r="J8" s="42"/>
      <c r="K8" s="1" t="s">
        <v>75</v>
      </c>
      <c r="L8" s="1" t="s">
        <v>522</v>
      </c>
      <c r="M8" s="43">
        <v>2022</v>
      </c>
      <c r="N8" s="42"/>
      <c r="O8" s="43" t="s">
        <v>79</v>
      </c>
      <c r="P8" s="43"/>
      <c r="Q8" s="43"/>
      <c r="R8" s="43"/>
      <c r="S8" s="43"/>
      <c r="T8" s="43"/>
      <c r="U8" s="42"/>
    </row>
    <row r="9" spans="1:21" ht="21" customHeight="1" x14ac:dyDescent="0.3">
      <c r="A9" s="44" t="str">
        <f t="shared" si="0"/>
        <v>11</v>
      </c>
      <c r="B9" s="41">
        <f t="shared" si="1"/>
        <v>1</v>
      </c>
      <c r="C9" s="41" t="str">
        <f t="shared" si="2"/>
        <v/>
      </c>
      <c r="D9" s="41">
        <f t="shared" si="3"/>
        <v>1</v>
      </c>
      <c r="E9" s="62"/>
      <c r="F9" s="1"/>
      <c r="G9" s="1">
        <v>6</v>
      </c>
      <c r="H9" s="4" t="s">
        <v>523</v>
      </c>
      <c r="I9" s="4" t="str">
        <f>IF(ISERROR(VLOOKUP(H9,#REF!,9,0)),"",VLOOKUP(H9,#REF!,9,0))</f>
        <v/>
      </c>
      <c r="J9" s="42" t="s">
        <v>523</v>
      </c>
      <c r="K9" s="1" t="s">
        <v>75</v>
      </c>
      <c r="L9" s="1" t="s">
        <v>47</v>
      </c>
      <c r="M9" s="43">
        <v>2022</v>
      </c>
      <c r="N9" s="42" t="s">
        <v>524</v>
      </c>
      <c r="O9" s="43" t="s">
        <v>79</v>
      </c>
      <c r="P9" s="43"/>
      <c r="Q9" s="43"/>
      <c r="R9" s="43"/>
      <c r="S9" s="43"/>
      <c r="T9" s="43"/>
      <c r="U9" s="42"/>
    </row>
    <row r="10" spans="1:21" ht="21" customHeight="1" x14ac:dyDescent="0.3">
      <c r="A10" s="44" t="str">
        <f t="shared" si="0"/>
        <v>1</v>
      </c>
      <c r="B10" s="41">
        <f t="shared" si="1"/>
        <v>1</v>
      </c>
      <c r="C10" s="41" t="str">
        <f t="shared" si="2"/>
        <v/>
      </c>
      <c r="D10" s="41" t="str">
        <f t="shared" si="3"/>
        <v/>
      </c>
      <c r="E10" s="62"/>
      <c r="F10" s="1"/>
      <c r="G10" s="1">
        <v>7</v>
      </c>
      <c r="H10" s="4" t="s">
        <v>87</v>
      </c>
      <c r="I10" s="4" t="str">
        <f>IF(ISERROR(VLOOKUP(H10,#REF!,9,0)),"",VLOOKUP(H10,#REF!,9,0))</f>
        <v/>
      </c>
      <c r="J10" s="42"/>
      <c r="K10" s="1" t="s">
        <v>75</v>
      </c>
      <c r="L10" s="1" t="s">
        <v>521</v>
      </c>
      <c r="M10" s="43">
        <v>2022</v>
      </c>
      <c r="N10" s="42"/>
      <c r="O10" s="43" t="s">
        <v>88</v>
      </c>
      <c r="P10" s="43"/>
      <c r="Q10" s="43"/>
      <c r="R10" s="43"/>
      <c r="S10" s="43"/>
      <c r="T10" s="43"/>
      <c r="U10" s="42"/>
    </row>
    <row r="11" spans="1:21" ht="21" customHeight="1" x14ac:dyDescent="0.3">
      <c r="A11" s="44" t="str">
        <f t="shared" si="0"/>
        <v>11</v>
      </c>
      <c r="B11" s="41">
        <f t="shared" si="1"/>
        <v>1</v>
      </c>
      <c r="C11" s="41" t="str">
        <f t="shared" si="2"/>
        <v/>
      </c>
      <c r="D11" s="41">
        <f t="shared" si="3"/>
        <v>1</v>
      </c>
      <c r="E11" s="62"/>
      <c r="F11" s="1" t="s">
        <v>525</v>
      </c>
      <c r="G11" s="1">
        <v>8</v>
      </c>
      <c r="H11" s="4" t="s">
        <v>526</v>
      </c>
      <c r="I11" s="4" t="str">
        <f>IF(ISERROR(VLOOKUP(H11,#REF!,9,0)),"",VLOOKUP(H11,#REF!,9,0))</f>
        <v/>
      </c>
      <c r="J11" s="42" t="s">
        <v>527</v>
      </c>
      <c r="K11" s="1" t="s">
        <v>75</v>
      </c>
      <c r="L11" s="1" t="s">
        <v>47</v>
      </c>
      <c r="M11" s="43">
        <v>2022</v>
      </c>
      <c r="N11" s="42" t="s">
        <v>528</v>
      </c>
      <c r="O11" s="43" t="s">
        <v>79</v>
      </c>
      <c r="P11" s="43"/>
      <c r="Q11" s="43"/>
      <c r="R11" s="43"/>
      <c r="S11" s="43"/>
      <c r="T11" s="43"/>
      <c r="U11" s="42"/>
    </row>
    <row r="12" spans="1:21" ht="21" customHeight="1" x14ac:dyDescent="0.3">
      <c r="A12" s="44" t="str">
        <f t="shared" si="0"/>
        <v>1</v>
      </c>
      <c r="B12" s="41" t="str">
        <f t="shared" si="1"/>
        <v/>
      </c>
      <c r="C12" s="41" t="str">
        <f t="shared" si="2"/>
        <v/>
      </c>
      <c r="D12" s="41">
        <f t="shared" si="3"/>
        <v>1</v>
      </c>
      <c r="E12" s="62"/>
      <c r="F12" s="1"/>
      <c r="G12" s="1">
        <v>9</v>
      </c>
      <c r="H12" s="4"/>
      <c r="I12" s="4" t="str">
        <f>IF(ISERROR(VLOOKUP(H12,#REF!,9,0)),"",VLOOKUP(H12,#REF!,9,0))</f>
        <v/>
      </c>
      <c r="J12" s="42" t="s">
        <v>529</v>
      </c>
      <c r="K12" s="1" t="s">
        <v>75</v>
      </c>
      <c r="L12" s="1" t="s">
        <v>47</v>
      </c>
      <c r="M12" s="43">
        <v>2022</v>
      </c>
      <c r="N12" s="42"/>
      <c r="O12" s="43" t="s">
        <v>79</v>
      </c>
      <c r="P12" s="43"/>
      <c r="Q12" s="43"/>
      <c r="R12" s="43"/>
      <c r="S12" s="43"/>
      <c r="T12" s="43"/>
      <c r="U12" s="42"/>
    </row>
    <row r="13" spans="1:21" ht="21" customHeight="1" x14ac:dyDescent="0.3">
      <c r="A13" s="44" t="str">
        <f t="shared" si="0"/>
        <v>11</v>
      </c>
      <c r="B13" s="41">
        <f t="shared" si="1"/>
        <v>1</v>
      </c>
      <c r="C13" s="41" t="str">
        <f t="shared" si="2"/>
        <v/>
      </c>
      <c r="D13" s="41">
        <f t="shared" si="3"/>
        <v>1</v>
      </c>
      <c r="E13" s="62"/>
      <c r="F13" s="1"/>
      <c r="G13" s="1">
        <v>10</v>
      </c>
      <c r="H13" s="4" t="s">
        <v>530</v>
      </c>
      <c r="I13" s="4" t="str">
        <f>IF(ISERROR(VLOOKUP(H13,#REF!,9,0)),"",VLOOKUP(H13,#REF!,9,0))</f>
        <v/>
      </c>
      <c r="J13" s="42" t="s">
        <v>530</v>
      </c>
      <c r="K13" s="1" t="s">
        <v>75</v>
      </c>
      <c r="L13" s="1" t="s">
        <v>47</v>
      </c>
      <c r="M13" s="43">
        <v>2022</v>
      </c>
      <c r="N13" s="42" t="s">
        <v>531</v>
      </c>
      <c r="O13" s="43" t="s">
        <v>79</v>
      </c>
      <c r="P13" s="43"/>
      <c r="Q13" s="43"/>
      <c r="R13" s="43"/>
      <c r="S13" s="43"/>
      <c r="T13" s="43"/>
      <c r="U13" s="42"/>
    </row>
    <row r="14" spans="1:21" ht="21" customHeight="1" x14ac:dyDescent="0.3">
      <c r="A14" s="44" t="str">
        <f t="shared" si="0"/>
        <v>1</v>
      </c>
      <c r="B14" s="41">
        <f t="shared" si="1"/>
        <v>1</v>
      </c>
      <c r="C14" s="41" t="str">
        <f t="shared" si="2"/>
        <v/>
      </c>
      <c r="D14" s="41" t="str">
        <f t="shared" si="3"/>
        <v/>
      </c>
      <c r="E14" s="62"/>
      <c r="F14" s="1"/>
      <c r="G14" s="1">
        <v>11</v>
      </c>
      <c r="H14" s="4" t="s">
        <v>89</v>
      </c>
      <c r="I14" s="4" t="str">
        <f>IF(ISERROR(VLOOKUP(H14,#REF!,9,0)),"",VLOOKUP(H14,#REF!,9,0))</f>
        <v/>
      </c>
      <c r="J14" s="42"/>
      <c r="K14" s="1" t="s">
        <v>75</v>
      </c>
      <c r="L14" s="1" t="s">
        <v>522</v>
      </c>
      <c r="M14" s="43">
        <v>2022</v>
      </c>
      <c r="N14" s="42"/>
      <c r="O14" s="43" t="s">
        <v>79</v>
      </c>
      <c r="P14" s="43"/>
      <c r="Q14" s="43"/>
      <c r="R14" s="43"/>
      <c r="S14" s="43"/>
      <c r="T14" s="43"/>
      <c r="U14" s="42"/>
    </row>
    <row r="15" spans="1:21" ht="21" customHeight="1" x14ac:dyDescent="0.3">
      <c r="A15" s="44" t="str">
        <f t="shared" si="0"/>
        <v>11</v>
      </c>
      <c r="B15" s="41">
        <f t="shared" si="1"/>
        <v>1</v>
      </c>
      <c r="C15" s="41" t="str">
        <f t="shared" si="2"/>
        <v/>
      </c>
      <c r="D15" s="41">
        <f t="shared" si="3"/>
        <v>1</v>
      </c>
      <c r="E15" s="62"/>
      <c r="F15" s="1"/>
      <c r="G15" s="1">
        <v>12</v>
      </c>
      <c r="H15" s="4" t="s">
        <v>532</v>
      </c>
      <c r="I15" s="4" t="str">
        <f>IF(ISERROR(VLOOKUP(H15,#REF!,9,0)),"",VLOOKUP(H15,#REF!,9,0))</f>
        <v/>
      </c>
      <c r="J15" s="42" t="s">
        <v>532</v>
      </c>
      <c r="K15" s="1" t="s">
        <v>75</v>
      </c>
      <c r="L15" s="1" t="s">
        <v>47</v>
      </c>
      <c r="M15" s="43">
        <v>2022</v>
      </c>
      <c r="N15" s="42" t="s">
        <v>533</v>
      </c>
      <c r="O15" s="43" t="s">
        <v>79</v>
      </c>
      <c r="P15" s="43"/>
      <c r="Q15" s="43"/>
      <c r="R15" s="43"/>
      <c r="S15" s="43"/>
      <c r="T15" s="43"/>
      <c r="U15" s="42"/>
    </row>
    <row r="16" spans="1:21" ht="21" customHeight="1" x14ac:dyDescent="0.3">
      <c r="A16" s="44" t="str">
        <f t="shared" si="0"/>
        <v>11</v>
      </c>
      <c r="B16" s="41">
        <f t="shared" si="1"/>
        <v>1</v>
      </c>
      <c r="C16" s="41" t="str">
        <f t="shared" si="2"/>
        <v/>
      </c>
      <c r="D16" s="41">
        <f t="shared" si="3"/>
        <v>1</v>
      </c>
      <c r="E16" s="62"/>
      <c r="F16" s="1"/>
      <c r="G16" s="1">
        <v>13</v>
      </c>
      <c r="H16" s="4" t="s">
        <v>534</v>
      </c>
      <c r="I16" s="4" t="str">
        <f>IF(ISERROR(VLOOKUP(H16,#REF!,9,0)),"",VLOOKUP(H16,#REF!,9,0))</f>
        <v/>
      </c>
      <c r="J16" s="42" t="s">
        <v>534</v>
      </c>
      <c r="K16" s="1" t="s">
        <v>75</v>
      </c>
      <c r="L16" s="1" t="s">
        <v>47</v>
      </c>
      <c r="M16" s="43">
        <v>2022</v>
      </c>
      <c r="N16" s="42" t="s">
        <v>534</v>
      </c>
      <c r="O16" s="43" t="s">
        <v>79</v>
      </c>
      <c r="P16" s="43"/>
      <c r="Q16" s="43"/>
      <c r="R16" s="43"/>
      <c r="S16" s="43"/>
      <c r="T16" s="43"/>
      <c r="U16" s="42"/>
    </row>
    <row r="17" spans="1:21" ht="21" customHeight="1" x14ac:dyDescent="0.3">
      <c r="A17" s="44" t="str">
        <f t="shared" si="0"/>
        <v>1</v>
      </c>
      <c r="B17" s="41">
        <f t="shared" si="1"/>
        <v>1</v>
      </c>
      <c r="C17" s="41" t="str">
        <f t="shared" si="2"/>
        <v/>
      </c>
      <c r="D17" s="41" t="str">
        <f t="shared" si="3"/>
        <v/>
      </c>
      <c r="E17" s="62"/>
      <c r="F17" s="1"/>
      <c r="G17" s="1">
        <v>14</v>
      </c>
      <c r="H17" s="4" t="s">
        <v>92</v>
      </c>
      <c r="I17" s="4" t="str">
        <f>IF(ISERROR(VLOOKUP(H17,#REF!,9,0)),"",VLOOKUP(H17,#REF!,9,0))</f>
        <v/>
      </c>
      <c r="J17" s="42"/>
      <c r="K17" s="1" t="s">
        <v>75</v>
      </c>
      <c r="L17" s="1" t="s">
        <v>522</v>
      </c>
      <c r="M17" s="43">
        <v>2022</v>
      </c>
      <c r="N17" s="42"/>
      <c r="O17" s="43" t="s">
        <v>79</v>
      </c>
      <c r="P17" s="43"/>
      <c r="Q17" s="43"/>
      <c r="R17" s="43"/>
      <c r="S17" s="43"/>
      <c r="T17" s="43"/>
      <c r="U17" s="42"/>
    </row>
    <row r="18" spans="1:21" ht="21" customHeight="1" x14ac:dyDescent="0.3">
      <c r="A18" s="44" t="str">
        <f t="shared" si="0"/>
        <v>11</v>
      </c>
      <c r="B18" s="41">
        <f t="shared" si="1"/>
        <v>1</v>
      </c>
      <c r="C18" s="41" t="str">
        <f t="shared" si="2"/>
        <v/>
      </c>
      <c r="D18" s="41">
        <f t="shared" si="3"/>
        <v>1</v>
      </c>
      <c r="E18" s="62"/>
      <c r="F18" s="1" t="s">
        <v>525</v>
      </c>
      <c r="G18" s="1">
        <v>15</v>
      </c>
      <c r="H18" s="4" t="s">
        <v>535</v>
      </c>
      <c r="I18" s="4" t="str">
        <f>IF(ISERROR(VLOOKUP(H18,#REF!,9,0)),"",VLOOKUP(H18,#REF!,9,0))</f>
        <v/>
      </c>
      <c r="J18" s="42" t="s">
        <v>535</v>
      </c>
      <c r="K18" s="1" t="s">
        <v>75</v>
      </c>
      <c r="L18" s="1" t="s">
        <v>47</v>
      </c>
      <c r="M18" s="43">
        <v>2022</v>
      </c>
      <c r="N18" s="42"/>
      <c r="O18" s="43" t="s">
        <v>79</v>
      </c>
      <c r="P18" s="43"/>
      <c r="Q18" s="43"/>
      <c r="R18" s="43"/>
      <c r="S18" s="43"/>
      <c r="T18" s="43"/>
      <c r="U18" s="42"/>
    </row>
    <row r="19" spans="1:21" ht="21" customHeight="1" x14ac:dyDescent="0.3">
      <c r="A19" s="44" t="str">
        <f t="shared" si="0"/>
        <v>1</v>
      </c>
      <c r="B19" s="41">
        <f t="shared" si="1"/>
        <v>1</v>
      </c>
      <c r="C19" s="41" t="str">
        <f t="shared" si="2"/>
        <v/>
      </c>
      <c r="D19" s="41" t="str">
        <f t="shared" si="3"/>
        <v/>
      </c>
      <c r="E19" s="62"/>
      <c r="F19" s="1"/>
      <c r="G19" s="1">
        <v>16</v>
      </c>
      <c r="H19" s="4" t="s">
        <v>93</v>
      </c>
      <c r="I19" s="4" t="str">
        <f>IF(ISERROR(VLOOKUP(H19,#REF!,9,0)),"",VLOOKUP(H19,#REF!,9,0))</f>
        <v/>
      </c>
      <c r="J19" s="42"/>
      <c r="K19" s="1" t="s">
        <v>75</v>
      </c>
      <c r="L19" s="1" t="s">
        <v>522</v>
      </c>
      <c r="M19" s="43">
        <v>2022</v>
      </c>
      <c r="N19" s="42"/>
      <c r="O19" s="43" t="s">
        <v>79</v>
      </c>
      <c r="P19" s="43"/>
      <c r="Q19" s="43"/>
      <c r="R19" s="43"/>
      <c r="S19" s="43"/>
      <c r="T19" s="43"/>
      <c r="U19" s="42"/>
    </row>
    <row r="20" spans="1:21" ht="21" customHeight="1" x14ac:dyDescent="0.3">
      <c r="A20" s="44" t="str">
        <f t="shared" si="0"/>
        <v>11</v>
      </c>
      <c r="B20" s="41">
        <f t="shared" si="1"/>
        <v>1</v>
      </c>
      <c r="C20" s="41" t="str">
        <f t="shared" si="2"/>
        <v/>
      </c>
      <c r="D20" s="41">
        <f t="shared" si="3"/>
        <v>1</v>
      </c>
      <c r="E20" s="62"/>
      <c r="F20" s="1"/>
      <c r="G20" s="1">
        <v>17</v>
      </c>
      <c r="H20" s="4" t="s">
        <v>536</v>
      </c>
      <c r="I20" s="4" t="str">
        <f>IF(ISERROR(VLOOKUP(H20,#REF!,9,0)),"",VLOOKUP(H20,#REF!,9,0))</f>
        <v/>
      </c>
      <c r="J20" s="42" t="s">
        <v>536</v>
      </c>
      <c r="K20" s="1" t="s">
        <v>75</v>
      </c>
      <c r="L20" s="1" t="s">
        <v>47</v>
      </c>
      <c r="M20" s="43">
        <v>2022</v>
      </c>
      <c r="N20" s="42" t="s">
        <v>537</v>
      </c>
      <c r="O20" s="43" t="s">
        <v>79</v>
      </c>
      <c r="P20" s="43"/>
      <c r="Q20" s="43"/>
      <c r="R20" s="43"/>
      <c r="S20" s="43"/>
      <c r="T20" s="43"/>
      <c r="U20" s="42"/>
    </row>
    <row r="21" spans="1:21" ht="21" customHeight="1" x14ac:dyDescent="0.3">
      <c r="A21" s="44" t="str">
        <f t="shared" si="0"/>
        <v>11</v>
      </c>
      <c r="B21" s="41">
        <f t="shared" si="1"/>
        <v>1</v>
      </c>
      <c r="C21" s="41" t="str">
        <f t="shared" si="2"/>
        <v/>
      </c>
      <c r="D21" s="41">
        <f t="shared" si="3"/>
        <v>1</v>
      </c>
      <c r="E21" s="62"/>
      <c r="F21" s="1"/>
      <c r="G21" s="1">
        <v>18</v>
      </c>
      <c r="H21" s="4" t="s">
        <v>538</v>
      </c>
      <c r="I21" s="4" t="str">
        <f>IF(ISERROR(VLOOKUP(H21,#REF!,9,0)),"",VLOOKUP(H21,#REF!,9,0))</f>
        <v/>
      </c>
      <c r="J21" s="42" t="s">
        <v>539</v>
      </c>
      <c r="K21" s="1" t="s">
        <v>75</v>
      </c>
      <c r="L21" s="1" t="s">
        <v>47</v>
      </c>
      <c r="M21" s="43">
        <v>2022</v>
      </c>
      <c r="N21" s="42" t="s">
        <v>540</v>
      </c>
      <c r="O21" s="43" t="s">
        <v>79</v>
      </c>
      <c r="P21" s="43"/>
      <c r="Q21" s="43"/>
      <c r="R21" s="43"/>
      <c r="S21" s="43"/>
      <c r="T21" s="43"/>
      <c r="U21" s="42"/>
    </row>
    <row r="22" spans="1:21" ht="21" customHeight="1" x14ac:dyDescent="0.3">
      <c r="A22" s="44" t="str">
        <f t="shared" si="0"/>
        <v>1</v>
      </c>
      <c r="B22" s="41">
        <f t="shared" si="1"/>
        <v>1</v>
      </c>
      <c r="C22" s="41" t="str">
        <f t="shared" si="2"/>
        <v/>
      </c>
      <c r="D22" s="41" t="str">
        <f t="shared" si="3"/>
        <v/>
      </c>
      <c r="E22" s="62"/>
      <c r="F22" s="1"/>
      <c r="G22" s="1">
        <v>19</v>
      </c>
      <c r="H22" s="4" t="s">
        <v>95</v>
      </c>
      <c r="I22" s="4" t="str">
        <f>IF(ISERROR(VLOOKUP(H22,#REF!,9,0)),"",VLOOKUP(H22,#REF!,9,0))</f>
        <v/>
      </c>
      <c r="J22" s="42"/>
      <c r="K22" s="1" t="s">
        <v>75</v>
      </c>
      <c r="L22" s="1" t="s">
        <v>522</v>
      </c>
      <c r="M22" s="43">
        <v>2022</v>
      </c>
      <c r="N22" s="42"/>
      <c r="O22" s="43" t="s">
        <v>79</v>
      </c>
      <c r="P22" s="43"/>
      <c r="Q22" s="43"/>
      <c r="R22" s="43"/>
      <c r="S22" s="43"/>
      <c r="T22" s="43"/>
      <c r="U22" s="42"/>
    </row>
    <row r="23" spans="1:21" ht="21" customHeight="1" x14ac:dyDescent="0.3">
      <c r="A23" s="44" t="str">
        <f t="shared" si="0"/>
        <v>11</v>
      </c>
      <c r="B23" s="41">
        <f t="shared" si="1"/>
        <v>1</v>
      </c>
      <c r="C23" s="41" t="str">
        <f t="shared" si="2"/>
        <v/>
      </c>
      <c r="D23" s="41">
        <f t="shared" si="3"/>
        <v>1</v>
      </c>
      <c r="E23" s="62"/>
      <c r="F23" s="1"/>
      <c r="G23" s="1">
        <v>20</v>
      </c>
      <c r="H23" s="4" t="s">
        <v>97</v>
      </c>
      <c r="I23" s="4" t="str">
        <f>IF(ISERROR(VLOOKUP(H23,#REF!,9,0)),"",VLOOKUP(H23,#REF!,9,0))</f>
        <v/>
      </c>
      <c r="J23" s="42" t="s">
        <v>97</v>
      </c>
      <c r="K23" s="1" t="s">
        <v>75</v>
      </c>
      <c r="L23" s="1" t="s">
        <v>541</v>
      </c>
      <c r="M23" s="43">
        <v>2022</v>
      </c>
      <c r="N23" s="42" t="s">
        <v>98</v>
      </c>
      <c r="O23" s="43" t="s">
        <v>79</v>
      </c>
      <c r="P23" s="43"/>
      <c r="Q23" s="43"/>
      <c r="R23" s="43"/>
      <c r="S23" s="43"/>
      <c r="T23" s="43"/>
      <c r="U23" s="42"/>
    </row>
    <row r="24" spans="1:21" ht="21" customHeight="1" x14ac:dyDescent="0.3">
      <c r="A24" s="44" t="str">
        <f t="shared" si="0"/>
        <v>1</v>
      </c>
      <c r="B24" s="41">
        <f t="shared" si="1"/>
        <v>1</v>
      </c>
      <c r="C24" s="41" t="str">
        <f t="shared" si="2"/>
        <v/>
      </c>
      <c r="D24" s="41" t="str">
        <f t="shared" si="3"/>
        <v/>
      </c>
      <c r="E24" s="62"/>
      <c r="F24" s="1"/>
      <c r="G24" s="1">
        <v>21</v>
      </c>
      <c r="H24" s="4" t="s">
        <v>99</v>
      </c>
      <c r="I24" s="4" t="str">
        <f>IF(ISERROR(VLOOKUP(H24,#REF!,9,0)),"",VLOOKUP(H24,#REF!,9,0))</f>
        <v/>
      </c>
      <c r="J24" s="42"/>
      <c r="K24" s="1" t="s">
        <v>75</v>
      </c>
      <c r="L24" s="1" t="s">
        <v>522</v>
      </c>
      <c r="M24" s="43">
        <v>2022</v>
      </c>
      <c r="N24" s="42"/>
      <c r="O24" s="43" t="s">
        <v>79</v>
      </c>
      <c r="P24" s="43"/>
      <c r="Q24" s="43"/>
      <c r="R24" s="43"/>
      <c r="S24" s="43"/>
      <c r="T24" s="43"/>
      <c r="U24" s="42"/>
    </row>
    <row r="25" spans="1:21" ht="21" customHeight="1" x14ac:dyDescent="0.3">
      <c r="A25" s="44" t="str">
        <f t="shared" si="0"/>
        <v>1</v>
      </c>
      <c r="B25" s="41" t="str">
        <f t="shared" si="1"/>
        <v/>
      </c>
      <c r="C25" s="41" t="str">
        <f t="shared" si="2"/>
        <v/>
      </c>
      <c r="D25" s="41">
        <f t="shared" si="3"/>
        <v>1</v>
      </c>
      <c r="E25" s="62"/>
      <c r="F25" s="1"/>
      <c r="G25" s="1">
        <v>22</v>
      </c>
      <c r="H25" s="4"/>
      <c r="I25" s="4" t="str">
        <f>IF(ISERROR(VLOOKUP(H25,#REF!,9,0)),"",VLOOKUP(H25,#REF!,9,0))</f>
        <v/>
      </c>
      <c r="J25" s="42" t="s">
        <v>542</v>
      </c>
      <c r="K25" s="1" t="s">
        <v>75</v>
      </c>
      <c r="L25" s="1" t="s">
        <v>47</v>
      </c>
      <c r="M25" s="43">
        <v>2022</v>
      </c>
      <c r="N25" s="42" t="s">
        <v>543</v>
      </c>
      <c r="O25" s="43" t="s">
        <v>79</v>
      </c>
      <c r="P25" s="43"/>
      <c r="Q25" s="43"/>
      <c r="R25" s="43"/>
      <c r="S25" s="43"/>
      <c r="T25" s="43"/>
      <c r="U25" s="42"/>
    </row>
    <row r="26" spans="1:21" ht="21" customHeight="1" x14ac:dyDescent="0.3">
      <c r="A26" s="44" t="str">
        <f t="shared" si="0"/>
        <v>1</v>
      </c>
      <c r="B26" s="41" t="str">
        <f t="shared" si="1"/>
        <v/>
      </c>
      <c r="C26" s="41" t="str">
        <f t="shared" si="2"/>
        <v/>
      </c>
      <c r="D26" s="41">
        <f t="shared" si="3"/>
        <v>1</v>
      </c>
      <c r="E26" s="62"/>
      <c r="F26" s="1"/>
      <c r="G26" s="1">
        <v>23</v>
      </c>
      <c r="H26" s="4"/>
      <c r="I26" s="4" t="str">
        <f>IF(ISERROR(VLOOKUP(H26,#REF!,9,0)),"",VLOOKUP(H26,#REF!,9,0))</f>
        <v/>
      </c>
      <c r="J26" s="42" t="s">
        <v>544</v>
      </c>
      <c r="K26" s="1" t="s">
        <v>75</v>
      </c>
      <c r="L26" s="1" t="s">
        <v>47</v>
      </c>
      <c r="M26" s="43">
        <v>2022</v>
      </c>
      <c r="N26" s="42"/>
      <c r="O26" s="43" t="s">
        <v>79</v>
      </c>
      <c r="P26" s="43"/>
      <c r="Q26" s="43"/>
      <c r="R26" s="43"/>
      <c r="S26" s="43"/>
      <c r="T26" s="43"/>
      <c r="U26" s="42"/>
    </row>
    <row r="27" spans="1:21" ht="21" customHeight="1" x14ac:dyDescent="0.3">
      <c r="A27" s="44" t="str">
        <f t="shared" si="0"/>
        <v>1</v>
      </c>
      <c r="B27" s="41" t="str">
        <f t="shared" si="1"/>
        <v/>
      </c>
      <c r="C27" s="41" t="str">
        <f t="shared" si="2"/>
        <v/>
      </c>
      <c r="D27" s="41">
        <f t="shared" si="3"/>
        <v>1</v>
      </c>
      <c r="E27" s="62"/>
      <c r="F27" s="1"/>
      <c r="G27" s="1">
        <v>24</v>
      </c>
      <c r="H27" s="4"/>
      <c r="I27" s="4" t="str">
        <f>IF(ISERROR(VLOOKUP(H27,#REF!,9,0)),"",VLOOKUP(H27,#REF!,9,0))</f>
        <v/>
      </c>
      <c r="J27" s="42" t="s">
        <v>545</v>
      </c>
      <c r="K27" s="1" t="s">
        <v>75</v>
      </c>
      <c r="L27" s="1" t="s">
        <v>47</v>
      </c>
      <c r="M27" s="43">
        <v>2022</v>
      </c>
      <c r="N27" s="42"/>
      <c r="O27" s="43" t="s">
        <v>79</v>
      </c>
      <c r="P27" s="43"/>
      <c r="Q27" s="43"/>
      <c r="R27" s="43"/>
      <c r="S27" s="43"/>
      <c r="T27" s="43"/>
      <c r="U27" s="42"/>
    </row>
    <row r="28" spans="1:21" ht="21" customHeight="1" x14ac:dyDescent="0.3">
      <c r="A28" s="44" t="str">
        <f t="shared" si="0"/>
        <v>11</v>
      </c>
      <c r="B28" s="41">
        <f t="shared" si="1"/>
        <v>1</v>
      </c>
      <c r="C28" s="41" t="str">
        <f t="shared" si="2"/>
        <v/>
      </c>
      <c r="D28" s="41">
        <f t="shared" si="3"/>
        <v>1</v>
      </c>
      <c r="E28" s="62"/>
      <c r="F28" s="1"/>
      <c r="G28" s="1">
        <v>25</v>
      </c>
      <c r="H28" s="4" t="s">
        <v>101</v>
      </c>
      <c r="I28" s="4" t="str">
        <f>IF(ISERROR(VLOOKUP(H28,#REF!,9,0)),"",VLOOKUP(H28,#REF!,9,0))</f>
        <v/>
      </c>
      <c r="J28" s="42" t="s">
        <v>101</v>
      </c>
      <c r="K28" s="1" t="s">
        <v>75</v>
      </c>
      <c r="L28" s="1" t="s">
        <v>521</v>
      </c>
      <c r="M28" s="43">
        <v>2022</v>
      </c>
      <c r="N28" s="42"/>
      <c r="O28" s="43" t="s">
        <v>79</v>
      </c>
      <c r="P28" s="43"/>
      <c r="Q28" s="43"/>
      <c r="R28" s="43"/>
      <c r="S28" s="43"/>
      <c r="T28" s="43"/>
      <c r="U28" s="42"/>
    </row>
    <row r="29" spans="1:21" ht="21" customHeight="1" x14ac:dyDescent="0.3">
      <c r="A29" s="44" t="str">
        <f t="shared" si="0"/>
        <v>1</v>
      </c>
      <c r="B29" s="41">
        <f t="shared" si="1"/>
        <v>1</v>
      </c>
      <c r="C29" s="41" t="str">
        <f t="shared" si="2"/>
        <v/>
      </c>
      <c r="D29" s="41" t="str">
        <f t="shared" si="3"/>
        <v/>
      </c>
      <c r="E29" s="62"/>
      <c r="F29" s="1"/>
      <c r="G29" s="1">
        <v>26</v>
      </c>
      <c r="H29" s="4" t="s">
        <v>103</v>
      </c>
      <c r="I29" s="4" t="str">
        <f>IF(ISERROR(VLOOKUP(H29,#REF!,9,0)),"",VLOOKUP(H29,#REF!,9,0))</f>
        <v/>
      </c>
      <c r="J29" s="42"/>
      <c r="K29" s="1" t="s">
        <v>75</v>
      </c>
      <c r="L29" s="1" t="s">
        <v>522</v>
      </c>
      <c r="M29" s="43">
        <v>2022</v>
      </c>
      <c r="N29" s="42"/>
      <c r="O29" s="43" t="s">
        <v>79</v>
      </c>
      <c r="P29" s="43"/>
      <c r="Q29" s="43"/>
      <c r="R29" s="43"/>
      <c r="S29" s="43"/>
      <c r="T29" s="43"/>
      <c r="U29" s="42"/>
    </row>
    <row r="30" spans="1:21" ht="21" customHeight="1" x14ac:dyDescent="0.3">
      <c r="A30" s="44" t="str">
        <f t="shared" si="0"/>
        <v>1</v>
      </c>
      <c r="B30" s="41">
        <f t="shared" si="1"/>
        <v>1</v>
      </c>
      <c r="C30" s="41" t="str">
        <f t="shared" si="2"/>
        <v/>
      </c>
      <c r="D30" s="41" t="str">
        <f t="shared" si="3"/>
        <v/>
      </c>
      <c r="E30" s="62"/>
      <c r="F30" s="1"/>
      <c r="G30" s="1">
        <v>27</v>
      </c>
      <c r="H30" s="4" t="s">
        <v>105</v>
      </c>
      <c r="I30" s="4" t="str">
        <f>IF(ISERROR(VLOOKUP(H30,#REF!,9,0)),"",VLOOKUP(H30,#REF!,9,0))</f>
        <v/>
      </c>
      <c r="J30" s="42"/>
      <c r="K30" s="1" t="s">
        <v>75</v>
      </c>
      <c r="L30" s="1" t="s">
        <v>522</v>
      </c>
      <c r="M30" s="43">
        <v>2022</v>
      </c>
      <c r="N30" s="42"/>
      <c r="O30" s="43" t="s">
        <v>79</v>
      </c>
      <c r="P30" s="43"/>
      <c r="Q30" s="43"/>
      <c r="R30" s="43"/>
      <c r="S30" s="43"/>
      <c r="T30" s="43"/>
      <c r="U30" s="42"/>
    </row>
    <row r="31" spans="1:21" ht="21" customHeight="1" x14ac:dyDescent="0.3">
      <c r="A31" s="44" t="str">
        <f t="shared" si="0"/>
        <v>11</v>
      </c>
      <c r="B31" s="41">
        <f t="shared" si="1"/>
        <v>1</v>
      </c>
      <c r="C31" s="41" t="str">
        <f t="shared" si="2"/>
        <v/>
      </c>
      <c r="D31" s="41">
        <f t="shared" si="3"/>
        <v>1</v>
      </c>
      <c r="E31" s="62"/>
      <c r="F31" s="1"/>
      <c r="G31" s="1">
        <v>28</v>
      </c>
      <c r="H31" s="4" t="s">
        <v>107</v>
      </c>
      <c r="I31" s="4" t="str">
        <f>IF(ISERROR(VLOOKUP(H31,#REF!,9,0)),"",VLOOKUP(H31,#REF!,9,0))</f>
        <v/>
      </c>
      <c r="J31" s="42" t="s">
        <v>107</v>
      </c>
      <c r="K31" s="1" t="s">
        <v>75</v>
      </c>
      <c r="L31" s="1" t="s">
        <v>521</v>
      </c>
      <c r="M31" s="43">
        <v>2022</v>
      </c>
      <c r="N31" s="42"/>
      <c r="O31" s="43" t="s">
        <v>79</v>
      </c>
      <c r="P31" s="43"/>
      <c r="Q31" s="43"/>
      <c r="R31" s="43"/>
      <c r="S31" s="43"/>
      <c r="T31" s="43"/>
      <c r="U31" s="42"/>
    </row>
    <row r="32" spans="1:21" ht="21" customHeight="1" x14ac:dyDescent="0.3">
      <c r="A32" s="44" t="str">
        <f t="shared" si="0"/>
        <v>11</v>
      </c>
      <c r="B32" s="41">
        <f t="shared" si="1"/>
        <v>1</v>
      </c>
      <c r="C32" s="41" t="str">
        <f t="shared" si="2"/>
        <v/>
      </c>
      <c r="D32" s="41">
        <f t="shared" si="3"/>
        <v>1</v>
      </c>
      <c r="E32" s="62"/>
      <c r="F32" s="1"/>
      <c r="G32" s="1">
        <v>29</v>
      </c>
      <c r="H32" s="4" t="s">
        <v>546</v>
      </c>
      <c r="I32" s="4" t="str">
        <f>IF(ISERROR(VLOOKUP(H32,#REF!,9,0)),"",VLOOKUP(H32,#REF!,9,0))</f>
        <v/>
      </c>
      <c r="J32" s="42" t="s">
        <v>546</v>
      </c>
      <c r="K32" s="1" t="s">
        <v>75</v>
      </c>
      <c r="L32" s="1" t="s">
        <v>47</v>
      </c>
      <c r="M32" s="43">
        <v>2022</v>
      </c>
      <c r="N32" s="42" t="s">
        <v>547</v>
      </c>
      <c r="O32" s="43" t="s">
        <v>79</v>
      </c>
      <c r="P32" s="43"/>
      <c r="Q32" s="43"/>
      <c r="R32" s="43"/>
      <c r="S32" s="43"/>
      <c r="T32" s="43"/>
      <c r="U32" s="42"/>
    </row>
    <row r="33" spans="1:21" ht="21" customHeight="1" x14ac:dyDescent="0.3">
      <c r="A33" s="44" t="str">
        <f t="shared" si="0"/>
        <v>1</v>
      </c>
      <c r="B33" s="41">
        <f t="shared" si="1"/>
        <v>1</v>
      </c>
      <c r="C33" s="41" t="str">
        <f t="shared" si="2"/>
        <v/>
      </c>
      <c r="D33" s="41" t="str">
        <f t="shared" si="3"/>
        <v/>
      </c>
      <c r="E33" s="62"/>
      <c r="F33" s="1"/>
      <c r="G33" s="1">
        <v>30</v>
      </c>
      <c r="H33" s="4" t="s">
        <v>109</v>
      </c>
      <c r="I33" s="4" t="str">
        <f>IF(ISERROR(VLOOKUP(H33,#REF!,9,0)),"",VLOOKUP(H33,#REF!,9,0))</f>
        <v/>
      </c>
      <c r="J33" s="42"/>
      <c r="K33" s="1" t="s">
        <v>75</v>
      </c>
      <c r="L33" s="1" t="s">
        <v>522</v>
      </c>
      <c r="M33" s="43">
        <v>2022</v>
      </c>
      <c r="N33" s="42"/>
      <c r="O33" s="43" t="s">
        <v>79</v>
      </c>
      <c r="P33" s="43"/>
      <c r="Q33" s="43"/>
      <c r="R33" s="43"/>
      <c r="S33" s="43"/>
      <c r="T33" s="43"/>
      <c r="U33" s="42"/>
    </row>
    <row r="34" spans="1:21" ht="21" customHeight="1" x14ac:dyDescent="0.3">
      <c r="A34" s="44" t="str">
        <f t="shared" si="0"/>
        <v>1</v>
      </c>
      <c r="B34" s="41" t="str">
        <f t="shared" si="1"/>
        <v/>
      </c>
      <c r="C34" s="41" t="str">
        <f t="shared" si="2"/>
        <v/>
      </c>
      <c r="D34" s="41">
        <f t="shared" si="3"/>
        <v>1</v>
      </c>
      <c r="E34" s="62"/>
      <c r="F34" s="1"/>
      <c r="G34" s="1">
        <v>31</v>
      </c>
      <c r="H34" s="4"/>
      <c r="I34" s="4" t="str">
        <f>IF(ISERROR(VLOOKUP(H34,#REF!,9,0)),"",VLOOKUP(H34,#REF!,9,0))</f>
        <v/>
      </c>
      <c r="J34" s="42" t="s">
        <v>548</v>
      </c>
      <c r="K34" s="1" t="s">
        <v>75</v>
      </c>
      <c r="L34" s="1" t="s">
        <v>47</v>
      </c>
      <c r="M34" s="43">
        <v>2022</v>
      </c>
      <c r="N34" s="42"/>
      <c r="O34" s="43" t="s">
        <v>79</v>
      </c>
      <c r="P34" s="43"/>
      <c r="Q34" s="43"/>
      <c r="R34" s="43"/>
      <c r="S34" s="43"/>
      <c r="T34" s="43"/>
      <c r="U34" s="42"/>
    </row>
    <row r="35" spans="1:21" ht="21" customHeight="1" x14ac:dyDescent="0.3">
      <c r="A35" s="44" t="str">
        <f t="shared" si="0"/>
        <v>1</v>
      </c>
      <c r="B35" s="41">
        <f t="shared" si="1"/>
        <v>1</v>
      </c>
      <c r="C35" s="41" t="str">
        <f t="shared" si="2"/>
        <v/>
      </c>
      <c r="D35" s="41" t="str">
        <f t="shared" si="3"/>
        <v/>
      </c>
      <c r="E35" s="62"/>
      <c r="F35" s="1" t="s">
        <v>111</v>
      </c>
      <c r="G35" s="1">
        <v>32</v>
      </c>
      <c r="H35" s="4" t="s">
        <v>112</v>
      </c>
      <c r="I35" s="4" t="str">
        <f>IF(ISERROR(VLOOKUP(H35,#REF!,9,0)),"",VLOOKUP(H35,#REF!,9,0))</f>
        <v/>
      </c>
      <c r="J35" s="42"/>
      <c r="K35" s="1" t="s">
        <v>75</v>
      </c>
      <c r="L35" s="1" t="s">
        <v>522</v>
      </c>
      <c r="M35" s="43">
        <v>2022</v>
      </c>
      <c r="N35" s="42"/>
      <c r="O35" s="43" t="s">
        <v>79</v>
      </c>
      <c r="P35" s="43"/>
      <c r="Q35" s="43"/>
      <c r="R35" s="43"/>
      <c r="S35" s="43"/>
      <c r="T35" s="43"/>
      <c r="U35" s="42"/>
    </row>
    <row r="36" spans="1:21" ht="21" customHeight="1" x14ac:dyDescent="0.3">
      <c r="A36" s="44" t="str">
        <f t="shared" si="0"/>
        <v>1</v>
      </c>
      <c r="B36" s="41">
        <f t="shared" si="1"/>
        <v>1</v>
      </c>
      <c r="C36" s="41" t="str">
        <f t="shared" si="2"/>
        <v/>
      </c>
      <c r="D36" s="41" t="str">
        <f t="shared" si="3"/>
        <v/>
      </c>
      <c r="E36" s="62"/>
      <c r="F36" s="1" t="s">
        <v>111</v>
      </c>
      <c r="G36" s="1">
        <v>33</v>
      </c>
      <c r="H36" s="4" t="s">
        <v>114</v>
      </c>
      <c r="I36" s="4" t="str">
        <f>IF(ISERROR(VLOOKUP(H36,#REF!,9,0)),"",VLOOKUP(H36,#REF!,9,0))</f>
        <v/>
      </c>
      <c r="J36" s="42"/>
      <c r="K36" s="1" t="s">
        <v>75</v>
      </c>
      <c r="L36" s="1" t="s">
        <v>522</v>
      </c>
      <c r="M36" s="43">
        <v>2022</v>
      </c>
      <c r="N36" s="42"/>
      <c r="O36" s="43" t="s">
        <v>79</v>
      </c>
      <c r="P36" s="43"/>
      <c r="Q36" s="43"/>
      <c r="R36" s="43"/>
      <c r="S36" s="43"/>
      <c r="T36" s="43"/>
      <c r="U36" s="42"/>
    </row>
    <row r="37" spans="1:21" ht="21" customHeight="1" x14ac:dyDescent="0.3">
      <c r="A37" s="44" t="str">
        <f t="shared" si="0"/>
        <v>11</v>
      </c>
      <c r="B37" s="41">
        <f t="shared" si="1"/>
        <v>1</v>
      </c>
      <c r="C37" s="41" t="str">
        <f t="shared" si="2"/>
        <v/>
      </c>
      <c r="D37" s="41">
        <f t="shared" si="3"/>
        <v>1</v>
      </c>
      <c r="E37" s="62"/>
      <c r="F37" s="1" t="s">
        <v>111</v>
      </c>
      <c r="G37" s="1">
        <v>34</v>
      </c>
      <c r="H37" s="4" t="s">
        <v>549</v>
      </c>
      <c r="I37" s="4" t="str">
        <f>IF(ISERROR(VLOOKUP(H37,#REF!,9,0)),"",VLOOKUP(H37,#REF!,9,0))</f>
        <v/>
      </c>
      <c r="J37" s="42" t="s">
        <v>549</v>
      </c>
      <c r="K37" s="1" t="s">
        <v>75</v>
      </c>
      <c r="L37" s="1" t="s">
        <v>47</v>
      </c>
      <c r="M37" s="43">
        <v>2022</v>
      </c>
      <c r="N37" s="42" t="s">
        <v>550</v>
      </c>
      <c r="O37" s="43" t="s">
        <v>79</v>
      </c>
      <c r="P37" s="43"/>
      <c r="Q37" s="43"/>
      <c r="R37" s="43"/>
      <c r="S37" s="43"/>
      <c r="T37" s="43"/>
      <c r="U37" s="42"/>
    </row>
    <row r="38" spans="1:21" ht="21" customHeight="1" x14ac:dyDescent="0.3">
      <c r="A38" s="44" t="str">
        <f t="shared" si="0"/>
        <v>11</v>
      </c>
      <c r="B38" s="41">
        <f t="shared" si="1"/>
        <v>1</v>
      </c>
      <c r="C38" s="41" t="str">
        <f t="shared" si="2"/>
        <v/>
      </c>
      <c r="D38" s="41">
        <f t="shared" si="3"/>
        <v>1</v>
      </c>
      <c r="E38" s="62"/>
      <c r="F38" s="1" t="s">
        <v>111</v>
      </c>
      <c r="G38" s="1">
        <v>35</v>
      </c>
      <c r="H38" s="4" t="s">
        <v>551</v>
      </c>
      <c r="I38" s="4" t="str">
        <f>IF(ISERROR(VLOOKUP(H38,#REF!,9,0)),"",VLOOKUP(H38,#REF!,9,0))</f>
        <v/>
      </c>
      <c r="J38" s="42" t="s">
        <v>551</v>
      </c>
      <c r="K38" s="1" t="s">
        <v>75</v>
      </c>
      <c r="L38" s="1" t="s">
        <v>47</v>
      </c>
      <c r="M38" s="43">
        <v>2022</v>
      </c>
      <c r="N38" s="42" t="s">
        <v>552</v>
      </c>
      <c r="O38" s="43" t="s">
        <v>79</v>
      </c>
      <c r="P38" s="43"/>
      <c r="Q38" s="43"/>
      <c r="R38" s="43"/>
      <c r="S38" s="43"/>
      <c r="T38" s="43"/>
      <c r="U38" s="42"/>
    </row>
    <row r="39" spans="1:21" ht="21" customHeight="1" x14ac:dyDescent="0.3">
      <c r="A39" s="44" t="str">
        <f t="shared" si="0"/>
        <v>1</v>
      </c>
      <c r="B39" s="41">
        <f t="shared" si="1"/>
        <v>1</v>
      </c>
      <c r="C39" s="41" t="str">
        <f t="shared" si="2"/>
        <v/>
      </c>
      <c r="D39" s="41" t="str">
        <f t="shared" si="3"/>
        <v/>
      </c>
      <c r="E39" s="62" t="s">
        <v>116</v>
      </c>
      <c r="F39" s="1"/>
      <c r="G39" s="1">
        <v>36</v>
      </c>
      <c r="H39" s="4" t="s">
        <v>117</v>
      </c>
      <c r="I39" s="4" t="str">
        <f>IF(ISERROR(VLOOKUP(H39,#REF!,9,0)),"",VLOOKUP(H39,#REF!,9,0))</f>
        <v/>
      </c>
      <c r="J39" s="42"/>
      <c r="K39" s="1" t="s">
        <v>118</v>
      </c>
      <c r="L39" s="1" t="s">
        <v>522</v>
      </c>
      <c r="M39" s="43">
        <v>2022</v>
      </c>
      <c r="N39" s="42"/>
      <c r="O39" s="43" t="s">
        <v>79</v>
      </c>
      <c r="P39" s="43"/>
      <c r="Q39" s="43"/>
      <c r="R39" s="43"/>
      <c r="S39" s="43"/>
      <c r="T39" s="43"/>
      <c r="U39" s="42"/>
    </row>
    <row r="40" spans="1:21" ht="21" customHeight="1" x14ac:dyDescent="0.3">
      <c r="A40" s="44" t="str">
        <f t="shared" si="0"/>
        <v>1</v>
      </c>
      <c r="B40" s="41">
        <f t="shared" si="1"/>
        <v>1</v>
      </c>
      <c r="C40" s="41" t="str">
        <f t="shared" si="2"/>
        <v/>
      </c>
      <c r="D40" s="41" t="str">
        <f t="shared" si="3"/>
        <v/>
      </c>
      <c r="E40" s="62"/>
      <c r="F40" s="1" t="s">
        <v>121</v>
      </c>
      <c r="G40" s="1">
        <v>37</v>
      </c>
      <c r="H40" s="4" t="s">
        <v>122</v>
      </c>
      <c r="I40" s="4" t="str">
        <f>IF(ISERROR(VLOOKUP(H40,#REF!,9,0)),"",VLOOKUP(H40,#REF!,9,0))</f>
        <v/>
      </c>
      <c r="J40" s="42"/>
      <c r="K40" s="1" t="s">
        <v>118</v>
      </c>
      <c r="L40" s="1" t="s">
        <v>522</v>
      </c>
      <c r="M40" s="43">
        <v>2022</v>
      </c>
      <c r="N40" s="42"/>
      <c r="O40" s="43" t="s">
        <v>79</v>
      </c>
      <c r="P40" s="43"/>
      <c r="Q40" s="43"/>
      <c r="R40" s="43"/>
      <c r="S40" s="43"/>
      <c r="T40" s="43"/>
      <c r="U40" s="42"/>
    </row>
    <row r="41" spans="1:21" ht="21" customHeight="1" x14ac:dyDescent="0.3">
      <c r="A41" s="44" t="str">
        <f t="shared" si="0"/>
        <v>1</v>
      </c>
      <c r="B41" s="41">
        <f t="shared" si="1"/>
        <v>1</v>
      </c>
      <c r="C41" s="41" t="str">
        <f t="shared" si="2"/>
        <v/>
      </c>
      <c r="D41" s="41" t="str">
        <f t="shared" si="3"/>
        <v/>
      </c>
      <c r="E41" s="62"/>
      <c r="F41" s="1"/>
      <c r="G41" s="1">
        <v>38</v>
      </c>
      <c r="H41" s="4" t="s">
        <v>123</v>
      </c>
      <c r="I41" s="4" t="str">
        <f>IF(ISERROR(VLOOKUP(H41,#REF!,9,0)),"",VLOOKUP(H41,#REF!,9,0))</f>
        <v/>
      </c>
      <c r="J41" s="42"/>
      <c r="K41" s="1" t="s">
        <v>118</v>
      </c>
      <c r="L41" s="1" t="s">
        <v>522</v>
      </c>
      <c r="M41" s="43">
        <v>2022</v>
      </c>
      <c r="N41" s="42"/>
      <c r="O41" s="43" t="s">
        <v>79</v>
      </c>
      <c r="P41" s="43"/>
      <c r="Q41" s="43"/>
      <c r="R41" s="43"/>
      <c r="S41" s="43"/>
      <c r="T41" s="43"/>
      <c r="U41" s="42"/>
    </row>
    <row r="42" spans="1:21" ht="21" customHeight="1" x14ac:dyDescent="0.3">
      <c r="A42" s="44" t="str">
        <f t="shared" si="0"/>
        <v>1</v>
      </c>
      <c r="B42" s="41">
        <f t="shared" si="1"/>
        <v>1</v>
      </c>
      <c r="C42" s="41" t="str">
        <f t="shared" si="2"/>
        <v/>
      </c>
      <c r="D42" s="41" t="str">
        <f t="shared" si="3"/>
        <v/>
      </c>
      <c r="E42" s="62"/>
      <c r="F42" s="1"/>
      <c r="G42" s="1">
        <v>39</v>
      </c>
      <c r="H42" s="4" t="s">
        <v>124</v>
      </c>
      <c r="I42" s="4" t="str">
        <f>IF(ISERROR(VLOOKUP(H42,#REF!,9,0)),"",VLOOKUP(H42,#REF!,9,0))</f>
        <v/>
      </c>
      <c r="J42" s="42"/>
      <c r="K42" s="1" t="s">
        <v>118</v>
      </c>
      <c r="L42" s="1" t="s">
        <v>522</v>
      </c>
      <c r="M42" s="43">
        <v>2022</v>
      </c>
      <c r="N42" s="42"/>
      <c r="O42" s="43" t="s">
        <v>79</v>
      </c>
      <c r="P42" s="43"/>
      <c r="Q42" s="43"/>
      <c r="R42" s="43"/>
      <c r="S42" s="43"/>
      <c r="T42" s="43"/>
      <c r="U42" s="42"/>
    </row>
    <row r="43" spans="1:21" ht="21" customHeight="1" x14ac:dyDescent="0.3">
      <c r="A43" s="44" t="str">
        <f t="shared" si="0"/>
        <v>11</v>
      </c>
      <c r="B43" s="41">
        <f t="shared" si="1"/>
        <v>1</v>
      </c>
      <c r="C43" s="41" t="str">
        <f t="shared" si="2"/>
        <v/>
      </c>
      <c r="D43" s="41">
        <f t="shared" si="3"/>
        <v>1</v>
      </c>
      <c r="E43" s="62"/>
      <c r="F43" s="1"/>
      <c r="G43" s="1">
        <v>40</v>
      </c>
      <c r="H43" s="4" t="s">
        <v>553</v>
      </c>
      <c r="I43" s="4" t="str">
        <f>IF(ISERROR(VLOOKUP(H43,#REF!,9,0)),"",VLOOKUP(H43,#REF!,9,0))</f>
        <v/>
      </c>
      <c r="J43" s="42" t="s">
        <v>554</v>
      </c>
      <c r="K43" s="1" t="s">
        <v>118</v>
      </c>
      <c r="L43" s="1" t="s">
        <v>47</v>
      </c>
      <c r="M43" s="43">
        <v>2022</v>
      </c>
      <c r="N43" s="42"/>
      <c r="O43" s="43" t="s">
        <v>79</v>
      </c>
      <c r="P43" s="43"/>
      <c r="Q43" s="43"/>
      <c r="R43" s="43"/>
      <c r="S43" s="43"/>
      <c r="T43" s="43"/>
      <c r="U43" s="42"/>
    </row>
    <row r="44" spans="1:21" ht="21" customHeight="1" x14ac:dyDescent="0.3">
      <c r="A44" s="44" t="str">
        <f t="shared" si="0"/>
        <v>1</v>
      </c>
      <c r="B44" s="41">
        <f t="shared" si="1"/>
        <v>1</v>
      </c>
      <c r="C44" s="41" t="str">
        <f t="shared" si="2"/>
        <v/>
      </c>
      <c r="D44" s="41" t="str">
        <f t="shared" si="3"/>
        <v/>
      </c>
      <c r="E44" s="62"/>
      <c r="F44" s="1"/>
      <c r="G44" s="1">
        <v>41</v>
      </c>
      <c r="H44" s="4" t="s">
        <v>126</v>
      </c>
      <c r="I44" s="4" t="str">
        <f>IF(ISERROR(VLOOKUP(H44,#REF!,9,0)),"",VLOOKUP(H44,#REF!,9,0))</f>
        <v/>
      </c>
      <c r="J44" s="42"/>
      <c r="K44" s="1" t="s">
        <v>118</v>
      </c>
      <c r="L44" s="1" t="s">
        <v>522</v>
      </c>
      <c r="M44" s="43">
        <v>2022</v>
      </c>
      <c r="N44" s="42"/>
      <c r="O44" s="43" t="s">
        <v>79</v>
      </c>
      <c r="P44" s="43"/>
      <c r="Q44" s="43"/>
      <c r="R44" s="43"/>
      <c r="S44" s="43"/>
      <c r="T44" s="43"/>
      <c r="U44" s="42"/>
    </row>
    <row r="45" spans="1:21" ht="21" customHeight="1" x14ac:dyDescent="0.3">
      <c r="A45" s="44" t="str">
        <f t="shared" si="0"/>
        <v>1</v>
      </c>
      <c r="B45" s="41">
        <f t="shared" si="1"/>
        <v>1</v>
      </c>
      <c r="C45" s="41" t="str">
        <f t="shared" si="2"/>
        <v/>
      </c>
      <c r="D45" s="41" t="str">
        <f t="shared" si="3"/>
        <v/>
      </c>
      <c r="E45" s="62"/>
      <c r="F45" s="1"/>
      <c r="G45" s="1">
        <v>42</v>
      </c>
      <c r="H45" s="4" t="s">
        <v>128</v>
      </c>
      <c r="I45" s="4" t="str">
        <f>IF(ISERROR(VLOOKUP(H45,#REF!,9,0)),"",VLOOKUP(H45,#REF!,9,0))</f>
        <v/>
      </c>
      <c r="J45" s="42"/>
      <c r="K45" s="1" t="s">
        <v>118</v>
      </c>
      <c r="L45" s="1" t="s">
        <v>522</v>
      </c>
      <c r="M45" s="43">
        <v>2022</v>
      </c>
      <c r="N45" s="42"/>
      <c r="O45" s="43" t="s">
        <v>79</v>
      </c>
      <c r="P45" s="43"/>
      <c r="Q45" s="43"/>
      <c r="R45" s="43"/>
      <c r="S45" s="43"/>
      <c r="T45" s="43"/>
      <c r="U45" s="42"/>
    </row>
    <row r="46" spans="1:21" ht="21" customHeight="1" x14ac:dyDescent="0.3">
      <c r="A46" s="44" t="str">
        <f t="shared" si="0"/>
        <v>11</v>
      </c>
      <c r="B46" s="41">
        <f t="shared" si="1"/>
        <v>1</v>
      </c>
      <c r="C46" s="41" t="str">
        <f t="shared" si="2"/>
        <v/>
      </c>
      <c r="D46" s="41">
        <f t="shared" si="3"/>
        <v>1</v>
      </c>
      <c r="E46" s="62"/>
      <c r="F46" s="1"/>
      <c r="G46" s="1">
        <v>43</v>
      </c>
      <c r="H46" s="4" t="s">
        <v>555</v>
      </c>
      <c r="I46" s="4" t="str">
        <f>IF(ISERROR(VLOOKUP(H46,#REF!,9,0)),"",VLOOKUP(H46,#REF!,9,0))</f>
        <v/>
      </c>
      <c r="J46" s="42" t="s">
        <v>556</v>
      </c>
      <c r="K46" s="1" t="s">
        <v>118</v>
      </c>
      <c r="L46" s="1" t="s">
        <v>47</v>
      </c>
      <c r="M46" s="43">
        <v>2022</v>
      </c>
      <c r="N46" s="42"/>
      <c r="O46" s="43" t="s">
        <v>79</v>
      </c>
      <c r="P46" s="43"/>
      <c r="Q46" s="43"/>
      <c r="R46" s="43"/>
      <c r="S46" s="43"/>
      <c r="T46" s="43"/>
      <c r="U46" s="42"/>
    </row>
    <row r="47" spans="1:21" ht="21" customHeight="1" x14ac:dyDescent="0.3">
      <c r="A47" s="44" t="str">
        <f t="shared" si="0"/>
        <v>11</v>
      </c>
      <c r="B47" s="41">
        <f t="shared" si="1"/>
        <v>1</v>
      </c>
      <c r="C47" s="41" t="str">
        <f t="shared" si="2"/>
        <v/>
      </c>
      <c r="D47" s="41">
        <f t="shared" si="3"/>
        <v>1</v>
      </c>
      <c r="E47" s="62"/>
      <c r="F47" s="1"/>
      <c r="G47" s="1">
        <v>44</v>
      </c>
      <c r="H47" s="4" t="s">
        <v>557</v>
      </c>
      <c r="I47" s="4" t="str">
        <f>IF(ISERROR(VLOOKUP(H47,#REF!,9,0)),"",VLOOKUP(H47,#REF!,9,0))</f>
        <v/>
      </c>
      <c r="J47" s="42" t="s">
        <v>558</v>
      </c>
      <c r="K47" s="1" t="s">
        <v>118</v>
      </c>
      <c r="L47" s="1" t="s">
        <v>47</v>
      </c>
      <c r="M47" s="43">
        <v>2022</v>
      </c>
      <c r="N47" s="42"/>
      <c r="O47" s="43" t="s">
        <v>79</v>
      </c>
      <c r="P47" s="43"/>
      <c r="Q47" s="43"/>
      <c r="R47" s="43"/>
      <c r="S47" s="43"/>
      <c r="T47" s="43"/>
      <c r="U47" s="42"/>
    </row>
    <row r="48" spans="1:21" ht="21" customHeight="1" x14ac:dyDescent="0.3">
      <c r="A48" s="44" t="str">
        <f t="shared" si="0"/>
        <v>11</v>
      </c>
      <c r="B48" s="41">
        <f t="shared" si="1"/>
        <v>1</v>
      </c>
      <c r="C48" s="41" t="str">
        <f t="shared" si="2"/>
        <v/>
      </c>
      <c r="D48" s="41">
        <f t="shared" si="3"/>
        <v>1</v>
      </c>
      <c r="E48" s="62"/>
      <c r="F48" s="1"/>
      <c r="G48" s="1">
        <v>45</v>
      </c>
      <c r="H48" s="4" t="s">
        <v>559</v>
      </c>
      <c r="I48" s="4" t="str">
        <f>IF(ISERROR(VLOOKUP(H48,#REF!,9,0)),"",VLOOKUP(H48,#REF!,9,0))</f>
        <v/>
      </c>
      <c r="J48" s="42" t="s">
        <v>560</v>
      </c>
      <c r="K48" s="1" t="s">
        <v>118</v>
      </c>
      <c r="L48" s="1" t="s">
        <v>47</v>
      </c>
      <c r="M48" s="43">
        <v>2022</v>
      </c>
      <c r="N48" s="42" t="s">
        <v>561</v>
      </c>
      <c r="O48" s="43" t="s">
        <v>79</v>
      </c>
      <c r="P48" s="43"/>
      <c r="Q48" s="43"/>
      <c r="R48" s="43"/>
      <c r="S48" s="43"/>
      <c r="T48" s="43"/>
      <c r="U48" s="42"/>
    </row>
    <row r="49" spans="1:21" ht="21" customHeight="1" x14ac:dyDescent="0.3">
      <c r="A49" s="44" t="str">
        <f t="shared" si="0"/>
        <v>1</v>
      </c>
      <c r="B49" s="41">
        <f t="shared" si="1"/>
        <v>1</v>
      </c>
      <c r="C49" s="41" t="str">
        <f t="shared" si="2"/>
        <v/>
      </c>
      <c r="D49" s="41" t="str">
        <f t="shared" si="3"/>
        <v/>
      </c>
      <c r="E49" s="62"/>
      <c r="F49" s="1"/>
      <c r="G49" s="1">
        <v>46</v>
      </c>
      <c r="H49" s="4" t="s">
        <v>129</v>
      </c>
      <c r="I49" s="4" t="str">
        <f>IF(ISERROR(VLOOKUP(H49,#REF!,9,0)),"",VLOOKUP(H49,#REF!,9,0))</f>
        <v/>
      </c>
      <c r="J49" s="42"/>
      <c r="K49" s="1" t="s">
        <v>118</v>
      </c>
      <c r="L49" s="1" t="s">
        <v>522</v>
      </c>
      <c r="M49" s="43">
        <v>2022</v>
      </c>
      <c r="N49" s="42"/>
      <c r="O49" s="43" t="s">
        <v>79</v>
      </c>
      <c r="P49" s="43"/>
      <c r="Q49" s="43"/>
      <c r="R49" s="43"/>
      <c r="S49" s="43"/>
      <c r="T49" s="43"/>
      <c r="U49" s="42"/>
    </row>
    <row r="50" spans="1:21" ht="21" customHeight="1" x14ac:dyDescent="0.3">
      <c r="A50" s="44" t="str">
        <f t="shared" si="0"/>
        <v>1</v>
      </c>
      <c r="B50" s="41">
        <f t="shared" si="1"/>
        <v>1</v>
      </c>
      <c r="C50" s="41" t="str">
        <f t="shared" si="2"/>
        <v/>
      </c>
      <c r="D50" s="41" t="str">
        <f t="shared" si="3"/>
        <v/>
      </c>
      <c r="E50" s="62"/>
      <c r="F50" s="1"/>
      <c r="G50" s="1">
        <v>47</v>
      </c>
      <c r="H50" s="4" t="s">
        <v>130</v>
      </c>
      <c r="I50" s="4" t="str">
        <f>IF(ISERROR(VLOOKUP(H50,#REF!,9,0)),"",VLOOKUP(H50,#REF!,9,0))</f>
        <v/>
      </c>
      <c r="J50" s="42"/>
      <c r="K50" s="1" t="s">
        <v>118</v>
      </c>
      <c r="L50" s="1" t="s">
        <v>522</v>
      </c>
      <c r="M50" s="43">
        <v>2022</v>
      </c>
      <c r="N50" s="42"/>
      <c r="O50" s="43" t="s">
        <v>79</v>
      </c>
      <c r="P50" s="43"/>
      <c r="Q50" s="43"/>
      <c r="R50" s="43"/>
      <c r="S50" s="43"/>
      <c r="T50" s="43"/>
      <c r="U50" s="42"/>
    </row>
    <row r="51" spans="1:21" ht="21" customHeight="1" x14ac:dyDescent="0.3">
      <c r="A51" s="44" t="str">
        <f t="shared" si="0"/>
        <v>1</v>
      </c>
      <c r="B51" s="41">
        <f t="shared" si="1"/>
        <v>1</v>
      </c>
      <c r="C51" s="41" t="str">
        <f t="shared" si="2"/>
        <v/>
      </c>
      <c r="D51" s="41" t="str">
        <f t="shared" si="3"/>
        <v/>
      </c>
      <c r="E51" s="62"/>
      <c r="F51" s="1"/>
      <c r="G51" s="1">
        <v>48</v>
      </c>
      <c r="H51" s="4" t="s">
        <v>132</v>
      </c>
      <c r="I51" s="4" t="str">
        <f>IF(ISERROR(VLOOKUP(H51,#REF!,9,0)),"",VLOOKUP(H51,#REF!,9,0))</f>
        <v/>
      </c>
      <c r="J51" s="42"/>
      <c r="K51" s="1" t="s">
        <v>118</v>
      </c>
      <c r="L51" s="1" t="s">
        <v>522</v>
      </c>
      <c r="M51" s="43">
        <v>2022</v>
      </c>
      <c r="N51" s="42"/>
      <c r="O51" s="43" t="s">
        <v>79</v>
      </c>
      <c r="P51" s="43"/>
      <c r="Q51" s="43"/>
      <c r="R51" s="43"/>
      <c r="S51" s="43"/>
      <c r="T51" s="43"/>
      <c r="U51" s="42"/>
    </row>
    <row r="52" spans="1:21" ht="21" customHeight="1" x14ac:dyDescent="0.3">
      <c r="A52" s="44" t="str">
        <f t="shared" si="0"/>
        <v>1</v>
      </c>
      <c r="B52" s="41">
        <f t="shared" si="1"/>
        <v>1</v>
      </c>
      <c r="C52" s="41" t="str">
        <f t="shared" si="2"/>
        <v/>
      </c>
      <c r="D52" s="41" t="str">
        <f t="shared" si="3"/>
        <v/>
      </c>
      <c r="E52" s="62"/>
      <c r="F52" s="1"/>
      <c r="G52" s="1">
        <v>49</v>
      </c>
      <c r="H52" s="4" t="s">
        <v>134</v>
      </c>
      <c r="I52" s="4" t="str">
        <f>IF(ISERROR(VLOOKUP(H52,#REF!,9,0)),"",VLOOKUP(H52,#REF!,9,0))</f>
        <v/>
      </c>
      <c r="J52" s="42"/>
      <c r="K52" s="1" t="s">
        <v>118</v>
      </c>
      <c r="L52" s="1" t="s">
        <v>522</v>
      </c>
      <c r="M52" s="43">
        <v>2022</v>
      </c>
      <c r="N52" s="42"/>
      <c r="O52" s="43" t="s">
        <v>79</v>
      </c>
      <c r="P52" s="43"/>
      <c r="Q52" s="43"/>
      <c r="R52" s="43"/>
      <c r="S52" s="43"/>
      <c r="T52" s="43"/>
      <c r="U52" s="42"/>
    </row>
    <row r="53" spans="1:21" ht="21" customHeight="1" x14ac:dyDescent="0.3">
      <c r="A53" s="44" t="str">
        <f t="shared" si="0"/>
        <v>1</v>
      </c>
      <c r="B53" s="41">
        <f t="shared" si="1"/>
        <v>1</v>
      </c>
      <c r="C53" s="41" t="str">
        <f t="shared" si="2"/>
        <v/>
      </c>
      <c r="D53" s="41" t="str">
        <f t="shared" si="3"/>
        <v/>
      </c>
      <c r="E53" s="62"/>
      <c r="F53" s="1"/>
      <c r="G53" s="1">
        <v>50</v>
      </c>
      <c r="H53" s="4" t="s">
        <v>136</v>
      </c>
      <c r="I53" s="4" t="str">
        <f>IF(ISERROR(VLOOKUP(H53,#REF!,9,0)),"",VLOOKUP(H53,#REF!,9,0))</f>
        <v/>
      </c>
      <c r="J53" s="42"/>
      <c r="K53" s="1" t="s">
        <v>118</v>
      </c>
      <c r="L53" s="1" t="s">
        <v>522</v>
      </c>
      <c r="M53" s="43">
        <v>2022</v>
      </c>
      <c r="N53" s="42"/>
      <c r="O53" s="43" t="s">
        <v>79</v>
      </c>
      <c r="P53" s="43"/>
      <c r="Q53" s="43"/>
      <c r="R53" s="43"/>
      <c r="S53" s="43"/>
      <c r="T53" s="43"/>
      <c r="U53" s="42"/>
    </row>
    <row r="54" spans="1:21" ht="21" customHeight="1" x14ac:dyDescent="0.3">
      <c r="A54" s="44" t="str">
        <f t="shared" si="0"/>
        <v>1</v>
      </c>
      <c r="B54" s="41" t="str">
        <f t="shared" si="1"/>
        <v/>
      </c>
      <c r="C54" s="41" t="str">
        <f t="shared" si="2"/>
        <v/>
      </c>
      <c r="D54" s="41">
        <f t="shared" si="3"/>
        <v>1</v>
      </c>
      <c r="E54" s="62"/>
      <c r="F54" s="1"/>
      <c r="G54" s="1">
        <v>51</v>
      </c>
      <c r="H54" s="4"/>
      <c r="I54" s="4" t="str">
        <f>IF(ISERROR(VLOOKUP(H54,#REF!,9,0)),"",VLOOKUP(H54,#REF!,9,0))</f>
        <v/>
      </c>
      <c r="J54" s="42" t="s">
        <v>562</v>
      </c>
      <c r="K54" s="1" t="s">
        <v>118</v>
      </c>
      <c r="L54" s="1" t="s">
        <v>47</v>
      </c>
      <c r="M54" s="43">
        <v>2022</v>
      </c>
      <c r="N54" s="42"/>
      <c r="O54" s="43" t="s">
        <v>79</v>
      </c>
      <c r="P54" s="43"/>
      <c r="Q54" s="43"/>
      <c r="R54" s="43"/>
      <c r="S54" s="43"/>
      <c r="T54" s="43"/>
      <c r="U54" s="42"/>
    </row>
    <row r="55" spans="1:21" ht="21" customHeight="1" x14ac:dyDescent="0.3">
      <c r="A55" s="44" t="str">
        <f t="shared" si="0"/>
        <v>1</v>
      </c>
      <c r="B55" s="41">
        <f t="shared" si="1"/>
        <v>1</v>
      </c>
      <c r="C55" s="41" t="str">
        <f t="shared" si="2"/>
        <v/>
      </c>
      <c r="D55" s="41" t="str">
        <f t="shared" si="3"/>
        <v/>
      </c>
      <c r="E55" s="62"/>
      <c r="F55" s="1" t="s">
        <v>121</v>
      </c>
      <c r="G55" s="1">
        <v>52</v>
      </c>
      <c r="H55" s="4" t="s">
        <v>121</v>
      </c>
      <c r="I55" s="4" t="str">
        <f>IF(ISERROR(VLOOKUP(H55,#REF!,9,0)),"",VLOOKUP(H55,#REF!,9,0))</f>
        <v/>
      </c>
      <c r="J55" s="42"/>
      <c r="K55" s="1" t="s">
        <v>118</v>
      </c>
      <c r="L55" s="1" t="s">
        <v>522</v>
      </c>
      <c r="M55" s="43">
        <v>2022</v>
      </c>
      <c r="N55" s="42"/>
      <c r="O55" s="43" t="s">
        <v>79</v>
      </c>
      <c r="P55" s="43"/>
      <c r="Q55" s="43"/>
      <c r="R55" s="43"/>
      <c r="S55" s="43"/>
      <c r="T55" s="43"/>
      <c r="U55" s="42"/>
    </row>
    <row r="56" spans="1:21" ht="21" customHeight="1" x14ac:dyDescent="0.3">
      <c r="A56" s="44" t="str">
        <f t="shared" si="0"/>
        <v>1</v>
      </c>
      <c r="B56" s="41">
        <f t="shared" si="1"/>
        <v>1</v>
      </c>
      <c r="C56" s="41" t="str">
        <f t="shared" si="2"/>
        <v/>
      </c>
      <c r="D56" s="41" t="str">
        <f t="shared" si="3"/>
        <v/>
      </c>
      <c r="E56" s="62"/>
      <c r="F56" s="1" t="s">
        <v>121</v>
      </c>
      <c r="G56" s="1">
        <v>53</v>
      </c>
      <c r="H56" s="4" t="s">
        <v>138</v>
      </c>
      <c r="I56" s="4" t="str">
        <f>IF(ISERROR(VLOOKUP(H56,#REF!,9,0)),"",VLOOKUP(H56,#REF!,9,0))</f>
        <v/>
      </c>
      <c r="J56" s="42"/>
      <c r="K56" s="1" t="s">
        <v>118</v>
      </c>
      <c r="L56" s="1" t="s">
        <v>522</v>
      </c>
      <c r="M56" s="43">
        <v>2022</v>
      </c>
      <c r="N56" s="42"/>
      <c r="O56" s="43" t="s">
        <v>79</v>
      </c>
      <c r="P56" s="43"/>
      <c r="Q56" s="43"/>
      <c r="R56" s="43"/>
      <c r="S56" s="43"/>
      <c r="T56" s="43"/>
      <c r="U56" s="42"/>
    </row>
    <row r="57" spans="1:21" ht="21" customHeight="1" x14ac:dyDescent="0.3">
      <c r="A57" s="44" t="str">
        <f t="shared" si="0"/>
        <v>11</v>
      </c>
      <c r="B57" s="41">
        <f t="shared" si="1"/>
        <v>1</v>
      </c>
      <c r="C57" s="41" t="str">
        <f t="shared" si="2"/>
        <v/>
      </c>
      <c r="D57" s="41">
        <f t="shared" si="3"/>
        <v>1</v>
      </c>
      <c r="E57" s="62"/>
      <c r="F57" s="1"/>
      <c r="G57" s="1">
        <v>54</v>
      </c>
      <c r="H57" s="4" t="s">
        <v>563</v>
      </c>
      <c r="I57" s="4" t="str">
        <f>IF(ISERROR(VLOOKUP(H57,#REF!,9,0)),"",VLOOKUP(H57,#REF!,9,0))</f>
        <v/>
      </c>
      <c r="J57" s="42" t="s">
        <v>564</v>
      </c>
      <c r="K57" s="1" t="s">
        <v>118</v>
      </c>
      <c r="L57" s="1" t="s">
        <v>47</v>
      </c>
      <c r="M57" s="43">
        <v>2022</v>
      </c>
      <c r="N57" s="42"/>
      <c r="O57" s="43" t="s">
        <v>79</v>
      </c>
      <c r="P57" s="43"/>
      <c r="Q57" s="43"/>
      <c r="R57" s="43"/>
      <c r="S57" s="43"/>
      <c r="T57" s="43"/>
      <c r="U57" s="42"/>
    </row>
    <row r="58" spans="1:21" ht="21" customHeight="1" x14ac:dyDescent="0.3">
      <c r="A58" s="44" t="str">
        <f t="shared" si="0"/>
        <v>1</v>
      </c>
      <c r="B58" s="41">
        <f t="shared" si="1"/>
        <v>1</v>
      </c>
      <c r="C58" s="41" t="str">
        <f t="shared" si="2"/>
        <v/>
      </c>
      <c r="D58" s="41" t="str">
        <f t="shared" si="3"/>
        <v/>
      </c>
      <c r="E58" s="62"/>
      <c r="F58" s="1" t="s">
        <v>121</v>
      </c>
      <c r="G58" s="1">
        <v>55</v>
      </c>
      <c r="H58" s="4" t="s">
        <v>139</v>
      </c>
      <c r="I58" s="4" t="str">
        <f>IF(ISERROR(VLOOKUP(H58,#REF!,9,0)),"",VLOOKUP(H58,#REF!,9,0))</f>
        <v/>
      </c>
      <c r="J58" s="42"/>
      <c r="K58" s="1" t="s">
        <v>118</v>
      </c>
      <c r="L58" s="1" t="s">
        <v>522</v>
      </c>
      <c r="M58" s="43">
        <v>2022</v>
      </c>
      <c r="N58" s="42"/>
      <c r="O58" s="43" t="s">
        <v>79</v>
      </c>
      <c r="P58" s="43"/>
      <c r="Q58" s="43"/>
      <c r="R58" s="43"/>
      <c r="S58" s="43"/>
      <c r="T58" s="43"/>
      <c r="U58" s="42"/>
    </row>
    <row r="59" spans="1:21" ht="21" customHeight="1" x14ac:dyDescent="0.3">
      <c r="A59" s="44" t="str">
        <f t="shared" si="0"/>
        <v>1</v>
      </c>
      <c r="B59" s="41">
        <f t="shared" si="1"/>
        <v>1</v>
      </c>
      <c r="C59" s="41" t="str">
        <f t="shared" si="2"/>
        <v/>
      </c>
      <c r="D59" s="41" t="str">
        <f t="shared" si="3"/>
        <v/>
      </c>
      <c r="E59" s="62"/>
      <c r="F59" s="1" t="s">
        <v>121</v>
      </c>
      <c r="G59" s="1">
        <v>56</v>
      </c>
      <c r="H59" s="4" t="s">
        <v>140</v>
      </c>
      <c r="I59" s="4" t="str">
        <f>IF(ISERROR(VLOOKUP(H59,#REF!,9,0)),"",VLOOKUP(H59,#REF!,9,0))</f>
        <v/>
      </c>
      <c r="J59" s="42"/>
      <c r="K59" s="1" t="s">
        <v>118</v>
      </c>
      <c r="L59" s="1" t="s">
        <v>522</v>
      </c>
      <c r="M59" s="43">
        <v>2022</v>
      </c>
      <c r="N59" s="42"/>
      <c r="O59" s="43" t="s">
        <v>79</v>
      </c>
      <c r="P59" s="43"/>
      <c r="Q59" s="43"/>
      <c r="R59" s="43"/>
      <c r="S59" s="43"/>
      <c r="T59" s="43"/>
      <c r="U59" s="42"/>
    </row>
    <row r="60" spans="1:21" ht="21" customHeight="1" x14ac:dyDescent="0.3">
      <c r="A60" s="44" t="str">
        <f t="shared" si="0"/>
        <v>1</v>
      </c>
      <c r="B60" s="41">
        <f t="shared" si="1"/>
        <v>1</v>
      </c>
      <c r="C60" s="41" t="str">
        <f t="shared" si="2"/>
        <v/>
      </c>
      <c r="D60" s="41" t="str">
        <f t="shared" si="3"/>
        <v/>
      </c>
      <c r="E60" s="62"/>
      <c r="F60" s="1"/>
      <c r="G60" s="1">
        <v>57</v>
      </c>
      <c r="H60" s="4" t="s">
        <v>141</v>
      </c>
      <c r="I60" s="4" t="str">
        <f>IF(ISERROR(VLOOKUP(H60,#REF!,9,0)),"",VLOOKUP(H60,#REF!,9,0))</f>
        <v/>
      </c>
      <c r="J60" s="42"/>
      <c r="K60" s="1" t="s">
        <v>118</v>
      </c>
      <c r="L60" s="1" t="s">
        <v>522</v>
      </c>
      <c r="M60" s="43">
        <v>2022</v>
      </c>
      <c r="N60" s="42"/>
      <c r="O60" s="43" t="s">
        <v>79</v>
      </c>
      <c r="P60" s="43"/>
      <c r="Q60" s="43"/>
      <c r="R60" s="43"/>
      <c r="S60" s="43"/>
      <c r="T60" s="43"/>
      <c r="U60" s="42"/>
    </row>
    <row r="61" spans="1:21" ht="21" customHeight="1" x14ac:dyDescent="0.3">
      <c r="A61" s="44" t="str">
        <f t="shared" si="0"/>
        <v>1</v>
      </c>
      <c r="B61" s="41">
        <f t="shared" si="1"/>
        <v>1</v>
      </c>
      <c r="C61" s="41" t="str">
        <f t="shared" si="2"/>
        <v/>
      </c>
      <c r="D61" s="41" t="str">
        <f t="shared" si="3"/>
        <v/>
      </c>
      <c r="E61" s="62"/>
      <c r="F61" s="1"/>
      <c r="G61" s="1">
        <v>58</v>
      </c>
      <c r="H61" s="4" t="s">
        <v>143</v>
      </c>
      <c r="I61" s="4" t="str">
        <f>IF(ISERROR(VLOOKUP(H61,#REF!,9,0)),"",VLOOKUP(H61,#REF!,9,0))</f>
        <v/>
      </c>
      <c r="J61" s="42"/>
      <c r="K61" s="1" t="s">
        <v>118</v>
      </c>
      <c r="L61" s="1" t="s">
        <v>522</v>
      </c>
      <c r="M61" s="43">
        <v>2022</v>
      </c>
      <c r="N61" s="42"/>
      <c r="O61" s="43" t="s">
        <v>79</v>
      </c>
      <c r="P61" s="43"/>
      <c r="Q61" s="43"/>
      <c r="R61" s="43"/>
      <c r="S61" s="43"/>
      <c r="T61" s="43"/>
      <c r="U61" s="42"/>
    </row>
    <row r="62" spans="1:21" ht="21" customHeight="1" x14ac:dyDescent="0.3">
      <c r="A62" s="44" t="str">
        <f t="shared" si="0"/>
        <v>1</v>
      </c>
      <c r="B62" s="41">
        <f t="shared" si="1"/>
        <v>1</v>
      </c>
      <c r="C62" s="41" t="str">
        <f t="shared" si="2"/>
        <v/>
      </c>
      <c r="D62" s="41" t="str">
        <f t="shared" si="3"/>
        <v/>
      </c>
      <c r="E62" s="62"/>
      <c r="F62" s="1" t="s">
        <v>145</v>
      </c>
      <c r="G62" s="1">
        <v>59</v>
      </c>
      <c r="H62" s="4" t="s">
        <v>146</v>
      </c>
      <c r="I62" s="4" t="str">
        <f>IF(ISERROR(VLOOKUP(H62,#REF!,9,0)),"",VLOOKUP(H62,#REF!,9,0))</f>
        <v/>
      </c>
      <c r="J62" s="42"/>
      <c r="K62" s="1" t="s">
        <v>118</v>
      </c>
      <c r="L62" s="1" t="s">
        <v>522</v>
      </c>
      <c r="M62" s="43" t="s">
        <v>565</v>
      </c>
      <c r="N62" s="42"/>
      <c r="O62" s="43" t="s">
        <v>79</v>
      </c>
      <c r="P62" s="43"/>
      <c r="Q62" s="43"/>
      <c r="R62" s="43"/>
      <c r="S62" s="43"/>
      <c r="T62" s="43"/>
      <c r="U62" s="42"/>
    </row>
    <row r="63" spans="1:21" ht="21" customHeight="1" x14ac:dyDescent="0.3">
      <c r="A63" s="44" t="str">
        <f t="shared" si="0"/>
        <v>1</v>
      </c>
      <c r="B63" s="41">
        <f t="shared" si="1"/>
        <v>1</v>
      </c>
      <c r="C63" s="41" t="str">
        <f t="shared" si="2"/>
        <v/>
      </c>
      <c r="D63" s="41" t="str">
        <f t="shared" si="3"/>
        <v/>
      </c>
      <c r="E63" s="62"/>
      <c r="F63" s="1" t="s">
        <v>145</v>
      </c>
      <c r="G63" s="1">
        <v>60</v>
      </c>
      <c r="H63" s="4" t="s">
        <v>148</v>
      </c>
      <c r="I63" s="4" t="str">
        <f>IF(ISERROR(VLOOKUP(H63,#REF!,9,0)),"",VLOOKUP(H63,#REF!,9,0))</f>
        <v/>
      </c>
      <c r="J63" s="42"/>
      <c r="K63" s="1" t="s">
        <v>118</v>
      </c>
      <c r="L63" s="1" t="s">
        <v>522</v>
      </c>
      <c r="M63" s="43" t="s">
        <v>565</v>
      </c>
      <c r="N63" s="42"/>
      <c r="O63" s="43" t="s">
        <v>79</v>
      </c>
      <c r="P63" s="43"/>
      <c r="Q63" s="43"/>
      <c r="R63" s="43"/>
      <c r="S63" s="43"/>
      <c r="T63" s="43"/>
      <c r="U63" s="42"/>
    </row>
    <row r="64" spans="1:21" ht="21" customHeight="1" x14ac:dyDescent="0.3">
      <c r="A64" s="44" t="str">
        <f t="shared" si="0"/>
        <v>1</v>
      </c>
      <c r="B64" s="41">
        <f t="shared" si="1"/>
        <v>1</v>
      </c>
      <c r="C64" s="41" t="str">
        <f t="shared" si="2"/>
        <v/>
      </c>
      <c r="D64" s="41" t="str">
        <f t="shared" si="3"/>
        <v/>
      </c>
      <c r="E64" s="62"/>
      <c r="F64" s="1" t="s">
        <v>145</v>
      </c>
      <c r="G64" s="1">
        <v>61</v>
      </c>
      <c r="H64" s="4" t="s">
        <v>149</v>
      </c>
      <c r="I64" s="4" t="str">
        <f>IF(ISERROR(VLOOKUP(H64,#REF!,9,0)),"",VLOOKUP(H64,#REF!,9,0))</f>
        <v/>
      </c>
      <c r="J64" s="42"/>
      <c r="K64" s="1" t="s">
        <v>118</v>
      </c>
      <c r="L64" s="1" t="s">
        <v>522</v>
      </c>
      <c r="M64" s="43" t="s">
        <v>565</v>
      </c>
      <c r="N64" s="42"/>
      <c r="O64" s="43" t="s">
        <v>79</v>
      </c>
      <c r="P64" s="43"/>
      <c r="Q64" s="43"/>
      <c r="R64" s="43"/>
      <c r="S64" s="43"/>
      <c r="T64" s="43"/>
      <c r="U64" s="42"/>
    </row>
    <row r="65" spans="1:21" ht="21" customHeight="1" x14ac:dyDescent="0.3">
      <c r="A65" s="44" t="str">
        <f t="shared" si="0"/>
        <v>1</v>
      </c>
      <c r="B65" s="41">
        <f t="shared" si="1"/>
        <v>1</v>
      </c>
      <c r="C65" s="41" t="str">
        <f t="shared" si="2"/>
        <v/>
      </c>
      <c r="D65" s="41" t="str">
        <f t="shared" si="3"/>
        <v/>
      </c>
      <c r="E65" s="62"/>
      <c r="F65" s="1"/>
      <c r="G65" s="1">
        <v>62</v>
      </c>
      <c r="H65" s="4" t="s">
        <v>150</v>
      </c>
      <c r="I65" s="4" t="str">
        <f>IF(ISERROR(VLOOKUP(H65,#REF!,9,0)),"",VLOOKUP(H65,#REF!,9,0))</f>
        <v/>
      </c>
      <c r="J65" s="42"/>
      <c r="K65" s="1" t="s">
        <v>118</v>
      </c>
      <c r="L65" s="1" t="s">
        <v>522</v>
      </c>
      <c r="M65" s="43">
        <v>2022</v>
      </c>
      <c r="N65" s="42"/>
      <c r="O65" s="43" t="s">
        <v>79</v>
      </c>
      <c r="P65" s="43"/>
      <c r="Q65" s="43"/>
      <c r="R65" s="43"/>
      <c r="S65" s="43"/>
      <c r="T65" s="43"/>
      <c r="U65" s="42"/>
    </row>
    <row r="66" spans="1:21" ht="21" customHeight="1" x14ac:dyDescent="0.3">
      <c r="A66" s="44" t="str">
        <f t="shared" si="0"/>
        <v>1</v>
      </c>
      <c r="B66" s="41">
        <f t="shared" si="1"/>
        <v>1</v>
      </c>
      <c r="C66" s="41" t="str">
        <f t="shared" si="2"/>
        <v/>
      </c>
      <c r="D66" s="41" t="str">
        <f t="shared" si="3"/>
        <v/>
      </c>
      <c r="E66" s="62"/>
      <c r="F66" s="1"/>
      <c r="G66" s="1">
        <v>63</v>
      </c>
      <c r="H66" s="4" t="s">
        <v>151</v>
      </c>
      <c r="I66" s="4" t="str">
        <f>IF(ISERROR(VLOOKUP(H66,#REF!,9,0)),"",VLOOKUP(H66,#REF!,9,0))</f>
        <v/>
      </c>
      <c r="J66" s="42"/>
      <c r="K66" s="1" t="s">
        <v>118</v>
      </c>
      <c r="L66" s="1" t="s">
        <v>522</v>
      </c>
      <c r="M66" s="43">
        <v>2022</v>
      </c>
      <c r="N66" s="42"/>
      <c r="O66" s="43" t="s">
        <v>79</v>
      </c>
      <c r="P66" s="43"/>
      <c r="Q66" s="43"/>
      <c r="R66" s="43"/>
      <c r="S66" s="43"/>
      <c r="T66" s="43"/>
      <c r="U66" s="42"/>
    </row>
    <row r="67" spans="1:21" ht="21" customHeight="1" x14ac:dyDescent="0.3">
      <c r="A67" s="44" t="str">
        <f t="shared" si="0"/>
        <v>11</v>
      </c>
      <c r="B67" s="41">
        <f t="shared" si="1"/>
        <v>1</v>
      </c>
      <c r="C67" s="41" t="str">
        <f t="shared" si="2"/>
        <v/>
      </c>
      <c r="D67" s="41">
        <f t="shared" si="3"/>
        <v>1</v>
      </c>
      <c r="E67" s="62"/>
      <c r="F67" s="1"/>
      <c r="G67" s="1">
        <v>64</v>
      </c>
      <c r="H67" s="4" t="s">
        <v>566</v>
      </c>
      <c r="I67" s="4" t="str">
        <f>IF(ISERROR(VLOOKUP(H67,#REF!,9,0)),"",VLOOKUP(H67,#REF!,9,0))</f>
        <v/>
      </c>
      <c r="J67" s="42" t="s">
        <v>567</v>
      </c>
      <c r="K67" s="1" t="s">
        <v>118</v>
      </c>
      <c r="L67" s="1" t="s">
        <v>47</v>
      </c>
      <c r="M67" s="43">
        <v>2022</v>
      </c>
      <c r="N67" s="42"/>
      <c r="O67" s="43" t="s">
        <v>79</v>
      </c>
      <c r="P67" s="43"/>
      <c r="Q67" s="43"/>
      <c r="R67" s="43"/>
      <c r="S67" s="43"/>
      <c r="T67" s="43"/>
      <c r="U67" s="42"/>
    </row>
    <row r="68" spans="1:21" ht="21" customHeight="1" x14ac:dyDescent="0.3">
      <c r="A68" s="44" t="str">
        <f t="shared" ref="A68:A131" si="4">B68&amp;D68</f>
        <v>11</v>
      </c>
      <c r="B68" s="41">
        <f t="shared" ref="B68:B131" si="5">IF(H68="","",1)</f>
        <v>1</v>
      </c>
      <c r="C68" s="41" t="str">
        <f t="shared" ref="C68:C131" si="6">IF(I68="","",1)</f>
        <v/>
      </c>
      <c r="D68" s="41">
        <f t="shared" ref="D68:D131" si="7">IF(J68="","",1)</f>
        <v>1</v>
      </c>
      <c r="E68" s="62"/>
      <c r="F68" s="1"/>
      <c r="G68" s="1">
        <v>65</v>
      </c>
      <c r="H68" s="4" t="s">
        <v>568</v>
      </c>
      <c r="I68" s="4" t="str">
        <f>IF(ISERROR(VLOOKUP(H68,#REF!,9,0)),"",VLOOKUP(H68,#REF!,9,0))</f>
        <v/>
      </c>
      <c r="J68" s="42" t="s">
        <v>569</v>
      </c>
      <c r="K68" s="1" t="s">
        <v>118</v>
      </c>
      <c r="L68" s="1" t="s">
        <v>47</v>
      </c>
      <c r="M68" s="43">
        <v>2022</v>
      </c>
      <c r="N68" s="42" t="s">
        <v>570</v>
      </c>
      <c r="O68" s="43" t="s">
        <v>79</v>
      </c>
      <c r="P68" s="43"/>
      <c r="Q68" s="43"/>
      <c r="R68" s="43"/>
      <c r="S68" s="43"/>
      <c r="T68" s="43"/>
      <c r="U68" s="42"/>
    </row>
    <row r="69" spans="1:21" ht="21" customHeight="1" x14ac:dyDescent="0.3">
      <c r="A69" s="44" t="str">
        <f t="shared" si="4"/>
        <v>11</v>
      </c>
      <c r="B69" s="41">
        <f t="shared" si="5"/>
        <v>1</v>
      </c>
      <c r="C69" s="41" t="str">
        <f t="shared" si="6"/>
        <v/>
      </c>
      <c r="D69" s="41">
        <f t="shared" si="7"/>
        <v>1</v>
      </c>
      <c r="E69" s="62"/>
      <c r="F69" s="1"/>
      <c r="G69" s="1">
        <v>66</v>
      </c>
      <c r="H69" s="4" t="s">
        <v>571</v>
      </c>
      <c r="I69" s="4" t="str">
        <f>IF(ISERROR(VLOOKUP(H69,#REF!,9,0)),"",VLOOKUP(H69,#REF!,9,0))</f>
        <v/>
      </c>
      <c r="J69" s="42" t="s">
        <v>572</v>
      </c>
      <c r="K69" s="1" t="s">
        <v>118</v>
      </c>
      <c r="L69" s="1" t="s">
        <v>47</v>
      </c>
      <c r="M69" s="43">
        <v>2022</v>
      </c>
      <c r="N69" s="42" t="s">
        <v>573</v>
      </c>
      <c r="O69" s="43" t="s">
        <v>79</v>
      </c>
      <c r="P69" s="43"/>
      <c r="Q69" s="43"/>
      <c r="R69" s="43"/>
      <c r="S69" s="43"/>
      <c r="T69" s="43"/>
      <c r="U69" s="42"/>
    </row>
    <row r="70" spans="1:21" ht="21" customHeight="1" x14ac:dyDescent="0.3">
      <c r="A70" s="44" t="str">
        <f t="shared" si="4"/>
        <v>1</v>
      </c>
      <c r="B70" s="41">
        <f t="shared" si="5"/>
        <v>1</v>
      </c>
      <c r="C70" s="41" t="str">
        <f t="shared" si="6"/>
        <v/>
      </c>
      <c r="D70" s="41" t="str">
        <f t="shared" si="7"/>
        <v/>
      </c>
      <c r="E70" s="62"/>
      <c r="F70" s="1" t="s">
        <v>145</v>
      </c>
      <c r="G70" s="1">
        <v>67</v>
      </c>
      <c r="H70" s="4" t="s">
        <v>152</v>
      </c>
      <c r="I70" s="4" t="str">
        <f>IF(ISERROR(VLOOKUP(H70,#REF!,9,0)),"",VLOOKUP(H70,#REF!,9,0))</f>
        <v/>
      </c>
      <c r="J70" s="42"/>
      <c r="K70" s="1" t="s">
        <v>118</v>
      </c>
      <c r="L70" s="1" t="s">
        <v>522</v>
      </c>
      <c r="M70" s="43" t="s">
        <v>565</v>
      </c>
      <c r="N70" s="42"/>
      <c r="O70" s="43" t="s">
        <v>79</v>
      </c>
      <c r="P70" s="43"/>
      <c r="Q70" s="43"/>
      <c r="R70" s="43"/>
      <c r="S70" s="43"/>
      <c r="T70" s="43"/>
      <c r="U70" s="42"/>
    </row>
    <row r="71" spans="1:21" ht="21" customHeight="1" x14ac:dyDescent="0.3">
      <c r="A71" s="44" t="str">
        <f t="shared" si="4"/>
        <v>1</v>
      </c>
      <c r="B71" s="41">
        <f t="shared" si="5"/>
        <v>1</v>
      </c>
      <c r="C71" s="41" t="str">
        <f t="shared" si="6"/>
        <v/>
      </c>
      <c r="D71" s="41" t="str">
        <f t="shared" si="7"/>
        <v/>
      </c>
      <c r="E71" s="62"/>
      <c r="F71" s="1" t="s">
        <v>153</v>
      </c>
      <c r="G71" s="1">
        <v>68</v>
      </c>
      <c r="H71" s="4" t="s">
        <v>154</v>
      </c>
      <c r="I71" s="4" t="str">
        <f>IF(ISERROR(VLOOKUP(H71,#REF!,9,0)),"",VLOOKUP(H71,#REF!,9,0))</f>
        <v/>
      </c>
      <c r="J71" s="42"/>
      <c r="K71" s="1" t="s">
        <v>118</v>
      </c>
      <c r="L71" s="1" t="s">
        <v>522</v>
      </c>
      <c r="M71" s="43" t="s">
        <v>565</v>
      </c>
      <c r="N71" s="42"/>
      <c r="O71" s="43" t="s">
        <v>79</v>
      </c>
      <c r="P71" s="43"/>
      <c r="Q71" s="43"/>
      <c r="R71" s="43"/>
      <c r="S71" s="43"/>
      <c r="T71" s="43"/>
      <c r="U71" s="42"/>
    </row>
    <row r="72" spans="1:21" ht="21" customHeight="1" x14ac:dyDescent="0.3">
      <c r="A72" s="44" t="str">
        <f t="shared" si="4"/>
        <v>1</v>
      </c>
      <c r="B72" s="41">
        <f t="shared" si="5"/>
        <v>1</v>
      </c>
      <c r="C72" s="41" t="str">
        <f t="shared" si="6"/>
        <v/>
      </c>
      <c r="D72" s="41" t="str">
        <f t="shared" si="7"/>
        <v/>
      </c>
      <c r="E72" s="62"/>
      <c r="F72" s="1" t="s">
        <v>153</v>
      </c>
      <c r="G72" s="1">
        <v>69</v>
      </c>
      <c r="H72" s="4" t="s">
        <v>155</v>
      </c>
      <c r="I72" s="4" t="str">
        <f>IF(ISERROR(VLOOKUP(H72,#REF!,9,0)),"",VLOOKUP(H72,#REF!,9,0))</f>
        <v/>
      </c>
      <c r="J72" s="42"/>
      <c r="K72" s="1" t="s">
        <v>118</v>
      </c>
      <c r="L72" s="1" t="s">
        <v>522</v>
      </c>
      <c r="M72" s="43" t="s">
        <v>565</v>
      </c>
      <c r="N72" s="42"/>
      <c r="O72" s="43" t="s">
        <v>79</v>
      </c>
      <c r="P72" s="43"/>
      <c r="Q72" s="43"/>
      <c r="R72" s="43"/>
      <c r="S72" s="43"/>
      <c r="T72" s="43"/>
      <c r="U72" s="42"/>
    </row>
    <row r="73" spans="1:21" ht="21" customHeight="1" x14ac:dyDescent="0.3">
      <c r="A73" s="44" t="str">
        <f t="shared" si="4"/>
        <v>1</v>
      </c>
      <c r="B73" s="41">
        <f t="shared" si="5"/>
        <v>1</v>
      </c>
      <c r="C73" s="41" t="str">
        <f t="shared" si="6"/>
        <v/>
      </c>
      <c r="D73" s="41" t="str">
        <f t="shared" si="7"/>
        <v/>
      </c>
      <c r="E73" s="62"/>
      <c r="F73" s="1" t="s">
        <v>153</v>
      </c>
      <c r="G73" s="1">
        <v>70</v>
      </c>
      <c r="H73" s="4" t="s">
        <v>156</v>
      </c>
      <c r="I73" s="4" t="str">
        <f>IF(ISERROR(VLOOKUP(H73,#REF!,9,0)),"",VLOOKUP(H73,#REF!,9,0))</f>
        <v/>
      </c>
      <c r="J73" s="42"/>
      <c r="K73" s="1" t="s">
        <v>118</v>
      </c>
      <c r="L73" s="1" t="s">
        <v>522</v>
      </c>
      <c r="M73" s="43" t="s">
        <v>565</v>
      </c>
      <c r="N73" s="42"/>
      <c r="O73" s="43" t="s">
        <v>79</v>
      </c>
      <c r="P73" s="43"/>
      <c r="Q73" s="43"/>
      <c r="R73" s="43"/>
      <c r="S73" s="43"/>
      <c r="T73" s="43"/>
      <c r="U73" s="42"/>
    </row>
    <row r="74" spans="1:21" ht="21" customHeight="1" x14ac:dyDescent="0.3">
      <c r="A74" s="44" t="str">
        <f t="shared" si="4"/>
        <v>1</v>
      </c>
      <c r="B74" s="41">
        <f t="shared" si="5"/>
        <v>1</v>
      </c>
      <c r="C74" s="41" t="str">
        <f t="shared" si="6"/>
        <v/>
      </c>
      <c r="D74" s="41" t="str">
        <f t="shared" si="7"/>
        <v/>
      </c>
      <c r="E74" s="62"/>
      <c r="F74" s="1" t="s">
        <v>153</v>
      </c>
      <c r="G74" s="1">
        <v>71</v>
      </c>
      <c r="H74" s="4" t="s">
        <v>157</v>
      </c>
      <c r="I74" s="4" t="str">
        <f>IF(ISERROR(VLOOKUP(H74,#REF!,9,0)),"",VLOOKUP(H74,#REF!,9,0))</f>
        <v/>
      </c>
      <c r="J74" s="42"/>
      <c r="K74" s="1" t="s">
        <v>118</v>
      </c>
      <c r="L74" s="1" t="s">
        <v>522</v>
      </c>
      <c r="M74" s="43" t="s">
        <v>565</v>
      </c>
      <c r="N74" s="42"/>
      <c r="O74" s="43" t="s">
        <v>79</v>
      </c>
      <c r="P74" s="43"/>
      <c r="Q74" s="43"/>
      <c r="R74" s="43"/>
      <c r="S74" s="43"/>
      <c r="T74" s="43"/>
      <c r="U74" s="42"/>
    </row>
    <row r="75" spans="1:21" ht="21" customHeight="1" x14ac:dyDescent="0.3">
      <c r="A75" s="44" t="str">
        <f t="shared" si="4"/>
        <v>1</v>
      </c>
      <c r="B75" s="41" t="str">
        <f t="shared" si="5"/>
        <v/>
      </c>
      <c r="C75" s="41" t="str">
        <f t="shared" si="6"/>
        <v/>
      </c>
      <c r="D75" s="41">
        <f t="shared" si="7"/>
        <v>1</v>
      </c>
      <c r="E75" s="62"/>
      <c r="F75" s="1"/>
      <c r="G75" s="1">
        <v>72</v>
      </c>
      <c r="H75" s="4"/>
      <c r="I75" s="4" t="str">
        <f>IF(ISERROR(VLOOKUP(H75,#REF!,9,0)),"",VLOOKUP(H75,#REF!,9,0))</f>
        <v/>
      </c>
      <c r="J75" s="42" t="s">
        <v>574</v>
      </c>
      <c r="K75" s="1" t="s">
        <v>118</v>
      </c>
      <c r="L75" s="1" t="s">
        <v>47</v>
      </c>
      <c r="M75" s="43">
        <v>2022</v>
      </c>
      <c r="N75" s="42" t="s">
        <v>575</v>
      </c>
      <c r="O75" s="43" t="s">
        <v>79</v>
      </c>
      <c r="P75" s="43"/>
      <c r="Q75" s="43"/>
      <c r="R75" s="43"/>
      <c r="S75" s="43"/>
      <c r="T75" s="43"/>
      <c r="U75" s="42"/>
    </row>
    <row r="76" spans="1:21" ht="21" customHeight="1" x14ac:dyDescent="0.3">
      <c r="A76" s="44" t="str">
        <f t="shared" si="4"/>
        <v>1</v>
      </c>
      <c r="B76" s="41" t="str">
        <f t="shared" si="5"/>
        <v/>
      </c>
      <c r="C76" s="41" t="str">
        <f t="shared" si="6"/>
        <v/>
      </c>
      <c r="D76" s="41">
        <f t="shared" si="7"/>
        <v>1</v>
      </c>
      <c r="E76" s="62"/>
      <c r="F76" s="1"/>
      <c r="G76" s="1">
        <v>73</v>
      </c>
      <c r="H76" s="4"/>
      <c r="I76" s="4" t="str">
        <f>IF(ISERROR(VLOOKUP(H76,#REF!,9,0)),"",VLOOKUP(H76,#REF!,9,0))</f>
        <v/>
      </c>
      <c r="J76" s="42" t="s">
        <v>576</v>
      </c>
      <c r="K76" s="1" t="s">
        <v>118</v>
      </c>
      <c r="L76" s="1" t="s">
        <v>47</v>
      </c>
      <c r="M76" s="43">
        <v>2022</v>
      </c>
      <c r="N76" s="42"/>
      <c r="O76" s="43" t="s">
        <v>79</v>
      </c>
      <c r="P76" s="43"/>
      <c r="Q76" s="43"/>
      <c r="R76" s="43"/>
      <c r="S76" s="43"/>
      <c r="T76" s="43"/>
      <c r="U76" s="42"/>
    </row>
    <row r="77" spans="1:21" ht="21" customHeight="1" x14ac:dyDescent="0.3">
      <c r="A77" s="44" t="str">
        <f t="shared" si="4"/>
        <v>1</v>
      </c>
      <c r="B77" s="41" t="str">
        <f t="shared" si="5"/>
        <v/>
      </c>
      <c r="C77" s="41" t="str">
        <f t="shared" si="6"/>
        <v/>
      </c>
      <c r="D77" s="41">
        <f t="shared" si="7"/>
        <v>1</v>
      </c>
      <c r="E77" s="62"/>
      <c r="F77" s="1"/>
      <c r="G77" s="1">
        <v>74</v>
      </c>
      <c r="H77" s="4"/>
      <c r="I77" s="4" t="str">
        <f>IF(ISERROR(VLOOKUP(H77,#REF!,9,0)),"",VLOOKUP(H77,#REF!,9,0))</f>
        <v/>
      </c>
      <c r="J77" s="42" t="s">
        <v>577</v>
      </c>
      <c r="K77" s="1" t="s">
        <v>118</v>
      </c>
      <c r="L77" s="1" t="s">
        <v>47</v>
      </c>
      <c r="M77" s="43">
        <v>2022</v>
      </c>
      <c r="N77" s="42"/>
      <c r="O77" s="43" t="s">
        <v>79</v>
      </c>
      <c r="P77" s="43"/>
      <c r="Q77" s="43"/>
      <c r="R77" s="43"/>
      <c r="S77" s="43"/>
      <c r="T77" s="43"/>
      <c r="U77" s="42"/>
    </row>
    <row r="78" spans="1:21" ht="21" customHeight="1" x14ac:dyDescent="0.3">
      <c r="A78" s="44" t="str">
        <f t="shared" si="4"/>
        <v>1</v>
      </c>
      <c r="B78" s="41">
        <f t="shared" si="5"/>
        <v>1</v>
      </c>
      <c r="C78" s="41" t="str">
        <f t="shared" si="6"/>
        <v/>
      </c>
      <c r="D78" s="41" t="str">
        <f t="shared" si="7"/>
        <v/>
      </c>
      <c r="E78" s="62"/>
      <c r="F78" s="1" t="s">
        <v>145</v>
      </c>
      <c r="G78" s="1">
        <v>75</v>
      </c>
      <c r="H78" s="4" t="s">
        <v>146</v>
      </c>
      <c r="I78" s="4" t="str">
        <f>IF(ISERROR(VLOOKUP(H78,#REF!,9,0)),"",VLOOKUP(H78,#REF!,9,0))</f>
        <v/>
      </c>
      <c r="J78" s="42"/>
      <c r="K78" s="1" t="s">
        <v>118</v>
      </c>
      <c r="L78" s="1" t="s">
        <v>522</v>
      </c>
      <c r="M78" s="43" t="s">
        <v>565</v>
      </c>
      <c r="N78" s="42"/>
      <c r="O78" s="43" t="s">
        <v>79</v>
      </c>
      <c r="P78" s="43"/>
      <c r="Q78" s="43"/>
      <c r="R78" s="43"/>
      <c r="S78" s="43"/>
      <c r="T78" s="43"/>
      <c r="U78" s="42"/>
    </row>
    <row r="79" spans="1:21" ht="21" customHeight="1" x14ac:dyDescent="0.3">
      <c r="A79" s="44" t="str">
        <f t="shared" si="4"/>
        <v>1</v>
      </c>
      <c r="B79" s="41">
        <f t="shared" si="5"/>
        <v>1</v>
      </c>
      <c r="C79" s="41" t="str">
        <f t="shared" si="6"/>
        <v/>
      </c>
      <c r="D79" s="41" t="str">
        <f t="shared" si="7"/>
        <v/>
      </c>
      <c r="E79" s="62"/>
      <c r="F79" s="1" t="s">
        <v>145</v>
      </c>
      <c r="G79" s="1">
        <v>76</v>
      </c>
      <c r="H79" s="4" t="s">
        <v>149</v>
      </c>
      <c r="I79" s="4" t="str">
        <f>IF(ISERROR(VLOOKUP(H79,#REF!,9,0)),"",VLOOKUP(H79,#REF!,9,0))</f>
        <v/>
      </c>
      <c r="J79" s="42"/>
      <c r="K79" s="1" t="s">
        <v>118</v>
      </c>
      <c r="L79" s="1" t="s">
        <v>522</v>
      </c>
      <c r="M79" s="43" t="s">
        <v>565</v>
      </c>
      <c r="N79" s="42"/>
      <c r="O79" s="43" t="s">
        <v>79</v>
      </c>
      <c r="P79" s="43"/>
      <c r="Q79" s="43"/>
      <c r="R79" s="43"/>
      <c r="S79" s="43"/>
      <c r="T79" s="43"/>
      <c r="U79" s="42"/>
    </row>
    <row r="80" spans="1:21" ht="21" customHeight="1" x14ac:dyDescent="0.3">
      <c r="A80" s="44" t="str">
        <f t="shared" si="4"/>
        <v>11</v>
      </c>
      <c r="B80" s="41">
        <f t="shared" si="5"/>
        <v>1</v>
      </c>
      <c r="C80" s="41" t="str">
        <f t="shared" si="6"/>
        <v/>
      </c>
      <c r="D80" s="41">
        <f t="shared" si="7"/>
        <v>1</v>
      </c>
      <c r="E80" s="62" t="s">
        <v>578</v>
      </c>
      <c r="F80" s="1"/>
      <c r="G80" s="1">
        <v>77</v>
      </c>
      <c r="H80" s="4" t="s">
        <v>579</v>
      </c>
      <c r="I80" s="4" t="str">
        <f>IF(ISERROR(VLOOKUP(H80,#REF!,9,0)),"",VLOOKUP(H80,#REF!,9,0))</f>
        <v/>
      </c>
      <c r="J80" s="42" t="s">
        <v>579</v>
      </c>
      <c r="K80" s="1" t="s">
        <v>161</v>
      </c>
      <c r="L80" s="1" t="s">
        <v>47</v>
      </c>
      <c r="M80" s="43">
        <v>2022</v>
      </c>
      <c r="N80" s="42" t="s">
        <v>580</v>
      </c>
      <c r="O80" s="43" t="s">
        <v>163</v>
      </c>
      <c r="P80" s="43"/>
      <c r="Q80" s="43"/>
      <c r="R80" s="43"/>
      <c r="S80" s="43"/>
      <c r="T80" s="43"/>
      <c r="U80" s="42"/>
    </row>
    <row r="81" spans="1:21" ht="21" customHeight="1" x14ac:dyDescent="0.3">
      <c r="A81" s="44" t="str">
        <f t="shared" si="4"/>
        <v>11</v>
      </c>
      <c r="B81" s="41">
        <f t="shared" si="5"/>
        <v>1</v>
      </c>
      <c r="C81" s="41" t="str">
        <f t="shared" si="6"/>
        <v/>
      </c>
      <c r="D81" s="41">
        <f t="shared" si="7"/>
        <v>1</v>
      </c>
      <c r="E81" s="62"/>
      <c r="F81" s="1"/>
      <c r="G81" s="1">
        <v>78</v>
      </c>
      <c r="H81" s="4" t="s">
        <v>581</v>
      </c>
      <c r="I81" s="4" t="str">
        <f>IF(ISERROR(VLOOKUP(H81,#REF!,9,0)),"",VLOOKUP(H81,#REF!,9,0))</f>
        <v/>
      </c>
      <c r="J81" s="42" t="s">
        <v>581</v>
      </c>
      <c r="K81" s="1" t="s">
        <v>161</v>
      </c>
      <c r="L81" s="1" t="s">
        <v>47</v>
      </c>
      <c r="M81" s="43">
        <v>2022</v>
      </c>
      <c r="N81" s="42" t="s">
        <v>581</v>
      </c>
      <c r="O81" s="43" t="s">
        <v>163</v>
      </c>
      <c r="P81" s="43"/>
      <c r="Q81" s="43"/>
      <c r="R81" s="43"/>
      <c r="S81" s="43"/>
      <c r="T81" s="43"/>
      <c r="U81" s="42"/>
    </row>
    <row r="82" spans="1:21" ht="21" customHeight="1" x14ac:dyDescent="0.3">
      <c r="A82" s="44" t="str">
        <f t="shared" si="4"/>
        <v>11</v>
      </c>
      <c r="B82" s="41">
        <f t="shared" si="5"/>
        <v>1</v>
      </c>
      <c r="C82" s="41" t="str">
        <f t="shared" si="6"/>
        <v/>
      </c>
      <c r="D82" s="41">
        <f t="shared" si="7"/>
        <v>1</v>
      </c>
      <c r="E82" s="62"/>
      <c r="F82" s="1"/>
      <c r="G82" s="1">
        <v>79</v>
      </c>
      <c r="H82" s="4" t="s">
        <v>582</v>
      </c>
      <c r="I82" s="4" t="str">
        <f>IF(ISERROR(VLOOKUP(H82,#REF!,9,0)),"",VLOOKUP(H82,#REF!,9,0))</f>
        <v/>
      </c>
      <c r="J82" s="42" t="s">
        <v>582</v>
      </c>
      <c r="K82" s="1" t="s">
        <v>161</v>
      </c>
      <c r="L82" s="1" t="s">
        <v>47</v>
      </c>
      <c r="M82" s="43">
        <v>2022</v>
      </c>
      <c r="N82" s="42" t="s">
        <v>583</v>
      </c>
      <c r="O82" s="43" t="s">
        <v>163</v>
      </c>
      <c r="P82" s="43"/>
      <c r="Q82" s="43"/>
      <c r="R82" s="43"/>
      <c r="S82" s="43"/>
      <c r="T82" s="43"/>
      <c r="U82" s="42"/>
    </row>
    <row r="83" spans="1:21" ht="21" customHeight="1" x14ac:dyDescent="0.3">
      <c r="A83" s="44" t="str">
        <f t="shared" si="4"/>
        <v>1</v>
      </c>
      <c r="B83" s="41">
        <f t="shared" si="5"/>
        <v>1</v>
      </c>
      <c r="C83" s="41" t="str">
        <f t="shared" si="6"/>
        <v/>
      </c>
      <c r="D83" s="41" t="str">
        <f t="shared" si="7"/>
        <v/>
      </c>
      <c r="E83" s="62"/>
      <c r="F83" s="1" t="s">
        <v>159</v>
      </c>
      <c r="G83" s="1">
        <v>80</v>
      </c>
      <c r="H83" s="4" t="s">
        <v>160</v>
      </c>
      <c r="I83" s="4" t="str">
        <f>IF(ISERROR(VLOOKUP(H83,#REF!,9,0)),"",VLOOKUP(H83,#REF!,9,0))</f>
        <v/>
      </c>
      <c r="J83" s="42"/>
      <c r="K83" s="1" t="s">
        <v>161</v>
      </c>
      <c r="L83" s="1" t="s">
        <v>521</v>
      </c>
      <c r="M83" s="43">
        <v>2022</v>
      </c>
      <c r="N83" s="42"/>
      <c r="O83" s="43" t="s">
        <v>163</v>
      </c>
      <c r="P83" s="43"/>
      <c r="Q83" s="43"/>
      <c r="R83" s="43"/>
      <c r="S83" s="43"/>
      <c r="T83" s="43"/>
      <c r="U83" s="42"/>
    </row>
    <row r="84" spans="1:21" ht="21" customHeight="1" x14ac:dyDescent="0.3">
      <c r="A84" s="44" t="str">
        <f t="shared" si="4"/>
        <v>1</v>
      </c>
      <c r="B84" s="41">
        <f t="shared" si="5"/>
        <v>1</v>
      </c>
      <c r="C84" s="41" t="str">
        <f t="shared" si="6"/>
        <v/>
      </c>
      <c r="D84" s="41" t="str">
        <f t="shared" si="7"/>
        <v/>
      </c>
      <c r="E84" s="62"/>
      <c r="F84" s="1" t="s">
        <v>164</v>
      </c>
      <c r="G84" s="1">
        <v>81</v>
      </c>
      <c r="H84" s="4" t="s">
        <v>165</v>
      </c>
      <c r="I84" s="4" t="str">
        <f>IF(ISERROR(VLOOKUP(H84,#REF!,9,0)),"",VLOOKUP(H84,#REF!,9,0))</f>
        <v/>
      </c>
      <c r="J84" s="42"/>
      <c r="K84" s="1" t="s">
        <v>161</v>
      </c>
      <c r="L84" s="1" t="s">
        <v>522</v>
      </c>
      <c r="M84" s="43">
        <v>2022</v>
      </c>
      <c r="N84" s="42"/>
      <c r="O84" s="43" t="s">
        <v>163</v>
      </c>
      <c r="P84" s="43"/>
      <c r="Q84" s="43"/>
      <c r="R84" s="43"/>
      <c r="S84" s="43"/>
      <c r="T84" s="43"/>
      <c r="U84" s="42"/>
    </row>
    <row r="85" spans="1:21" ht="21" customHeight="1" x14ac:dyDescent="0.3">
      <c r="A85" s="44" t="str">
        <f t="shared" si="4"/>
        <v>1</v>
      </c>
      <c r="B85" s="41">
        <f t="shared" si="5"/>
        <v>1</v>
      </c>
      <c r="C85" s="41" t="str">
        <f t="shared" si="6"/>
        <v/>
      </c>
      <c r="D85" s="41" t="str">
        <f t="shared" si="7"/>
        <v/>
      </c>
      <c r="E85" s="62"/>
      <c r="F85" s="1" t="s">
        <v>164</v>
      </c>
      <c r="G85" s="1">
        <v>82</v>
      </c>
      <c r="H85" s="4" t="s">
        <v>168</v>
      </c>
      <c r="I85" s="4" t="str">
        <f>IF(ISERROR(VLOOKUP(H85,#REF!,9,0)),"",VLOOKUP(H85,#REF!,9,0))</f>
        <v/>
      </c>
      <c r="J85" s="42"/>
      <c r="K85" s="1" t="s">
        <v>161</v>
      </c>
      <c r="L85" s="1" t="s">
        <v>522</v>
      </c>
      <c r="M85" s="43">
        <v>2022</v>
      </c>
      <c r="N85" s="42"/>
      <c r="O85" s="43" t="s">
        <v>163</v>
      </c>
      <c r="P85" s="43"/>
      <c r="Q85" s="43"/>
      <c r="R85" s="43"/>
      <c r="S85" s="43"/>
      <c r="T85" s="43"/>
      <c r="U85" s="42"/>
    </row>
    <row r="86" spans="1:21" ht="21" customHeight="1" x14ac:dyDescent="0.3">
      <c r="A86" s="44" t="str">
        <f t="shared" si="4"/>
        <v>11</v>
      </c>
      <c r="B86" s="41">
        <f t="shared" si="5"/>
        <v>1</v>
      </c>
      <c r="C86" s="41" t="str">
        <f t="shared" si="6"/>
        <v/>
      </c>
      <c r="D86" s="41">
        <f t="shared" si="7"/>
        <v>1</v>
      </c>
      <c r="E86" s="62"/>
      <c r="F86" s="1"/>
      <c r="G86" s="1">
        <v>83</v>
      </c>
      <c r="H86" s="4" t="s">
        <v>584</v>
      </c>
      <c r="I86" s="4" t="str">
        <f>IF(ISERROR(VLOOKUP(H86,#REF!,9,0)),"",VLOOKUP(H86,#REF!,9,0))</f>
        <v/>
      </c>
      <c r="J86" s="42" t="s">
        <v>584</v>
      </c>
      <c r="K86" s="1" t="s">
        <v>161</v>
      </c>
      <c r="L86" s="1" t="s">
        <v>47</v>
      </c>
      <c r="M86" s="43">
        <v>2022</v>
      </c>
      <c r="N86" s="42" t="s">
        <v>585</v>
      </c>
      <c r="O86" s="43" t="s">
        <v>163</v>
      </c>
      <c r="P86" s="43"/>
      <c r="Q86" s="43"/>
      <c r="R86" s="43"/>
      <c r="S86" s="43"/>
      <c r="T86" s="43"/>
      <c r="U86" s="42"/>
    </row>
    <row r="87" spans="1:21" ht="21" customHeight="1" x14ac:dyDescent="0.3">
      <c r="A87" s="44" t="str">
        <f t="shared" si="4"/>
        <v>11</v>
      </c>
      <c r="B87" s="41">
        <f t="shared" si="5"/>
        <v>1</v>
      </c>
      <c r="C87" s="41" t="str">
        <f t="shared" si="6"/>
        <v/>
      </c>
      <c r="D87" s="41">
        <f t="shared" si="7"/>
        <v>1</v>
      </c>
      <c r="E87" s="62"/>
      <c r="F87" s="1"/>
      <c r="G87" s="1">
        <v>84</v>
      </c>
      <c r="H87" s="4" t="s">
        <v>586</v>
      </c>
      <c r="I87" s="4" t="str">
        <f>IF(ISERROR(VLOOKUP(H87,#REF!,9,0)),"",VLOOKUP(H87,#REF!,9,0))</f>
        <v/>
      </c>
      <c r="J87" s="42" t="s">
        <v>586</v>
      </c>
      <c r="K87" s="1" t="s">
        <v>161</v>
      </c>
      <c r="L87" s="1" t="s">
        <v>47</v>
      </c>
      <c r="M87" s="43">
        <v>2022</v>
      </c>
      <c r="N87" s="42" t="s">
        <v>587</v>
      </c>
      <c r="O87" s="43" t="s">
        <v>163</v>
      </c>
      <c r="P87" s="43"/>
      <c r="Q87" s="43"/>
      <c r="R87" s="43"/>
      <c r="S87" s="43"/>
      <c r="T87" s="43"/>
      <c r="U87" s="42"/>
    </row>
    <row r="88" spans="1:21" ht="21" customHeight="1" x14ac:dyDescent="0.3">
      <c r="A88" s="44" t="str">
        <f t="shared" si="4"/>
        <v>1</v>
      </c>
      <c r="B88" s="41">
        <f t="shared" si="5"/>
        <v>1</v>
      </c>
      <c r="C88" s="41" t="str">
        <f t="shared" si="6"/>
        <v/>
      </c>
      <c r="D88" s="41" t="str">
        <f t="shared" si="7"/>
        <v/>
      </c>
      <c r="E88" s="62"/>
      <c r="F88" s="1"/>
      <c r="G88" s="1">
        <v>85</v>
      </c>
      <c r="H88" s="4" t="s">
        <v>170</v>
      </c>
      <c r="I88" s="4" t="str">
        <f>IF(ISERROR(VLOOKUP(H88,#REF!,9,0)),"",VLOOKUP(H88,#REF!,9,0))</f>
        <v/>
      </c>
      <c r="J88" s="42"/>
      <c r="K88" s="1" t="s">
        <v>161</v>
      </c>
      <c r="L88" s="1" t="s">
        <v>522</v>
      </c>
      <c r="M88" s="43">
        <v>2022</v>
      </c>
      <c r="N88" s="42"/>
      <c r="O88" s="43" t="s">
        <v>163</v>
      </c>
      <c r="P88" s="43"/>
      <c r="Q88" s="43"/>
      <c r="R88" s="43"/>
      <c r="S88" s="43"/>
      <c r="T88" s="43"/>
      <c r="U88" s="42"/>
    </row>
    <row r="89" spans="1:21" ht="21" customHeight="1" x14ac:dyDescent="0.3">
      <c r="A89" s="44" t="str">
        <f t="shared" si="4"/>
        <v>1</v>
      </c>
      <c r="B89" s="41">
        <f t="shared" si="5"/>
        <v>1</v>
      </c>
      <c r="C89" s="41" t="str">
        <f t="shared" si="6"/>
        <v/>
      </c>
      <c r="D89" s="41" t="str">
        <f t="shared" si="7"/>
        <v/>
      </c>
      <c r="E89" s="62"/>
      <c r="F89" s="1"/>
      <c r="G89" s="1">
        <v>86</v>
      </c>
      <c r="H89" s="4" t="s">
        <v>171</v>
      </c>
      <c r="I89" s="4" t="str">
        <f>IF(ISERROR(VLOOKUP(H89,#REF!,9,0)),"",VLOOKUP(H89,#REF!,9,0))</f>
        <v/>
      </c>
      <c r="J89" s="42"/>
      <c r="K89" s="1" t="s">
        <v>161</v>
      </c>
      <c r="L89" s="1" t="s">
        <v>522</v>
      </c>
      <c r="M89" s="43">
        <v>2022</v>
      </c>
      <c r="N89" s="42"/>
      <c r="O89" s="43" t="s">
        <v>163</v>
      </c>
      <c r="P89" s="43"/>
      <c r="Q89" s="43"/>
      <c r="R89" s="43"/>
      <c r="S89" s="43"/>
      <c r="T89" s="43"/>
      <c r="U89" s="42"/>
    </row>
    <row r="90" spans="1:21" ht="21" customHeight="1" x14ac:dyDescent="0.3">
      <c r="A90" s="44" t="str">
        <f t="shared" si="4"/>
        <v>1</v>
      </c>
      <c r="B90" s="41">
        <f t="shared" si="5"/>
        <v>1</v>
      </c>
      <c r="C90" s="41" t="str">
        <f t="shared" si="6"/>
        <v/>
      </c>
      <c r="D90" s="41" t="str">
        <f t="shared" si="7"/>
        <v/>
      </c>
      <c r="E90" s="62"/>
      <c r="F90" s="1" t="s">
        <v>164</v>
      </c>
      <c r="G90" s="1">
        <v>87</v>
      </c>
      <c r="H90" s="4" t="s">
        <v>173</v>
      </c>
      <c r="I90" s="4" t="str">
        <f>IF(ISERROR(VLOOKUP(H90,#REF!,9,0)),"",VLOOKUP(H90,#REF!,9,0))</f>
        <v/>
      </c>
      <c r="J90" s="42"/>
      <c r="K90" s="1" t="s">
        <v>161</v>
      </c>
      <c r="L90" s="1" t="s">
        <v>522</v>
      </c>
      <c r="M90" s="43">
        <v>2022</v>
      </c>
      <c r="N90" s="42"/>
      <c r="O90" s="43" t="s">
        <v>163</v>
      </c>
      <c r="P90" s="43"/>
      <c r="Q90" s="43"/>
      <c r="R90" s="43"/>
      <c r="S90" s="43"/>
      <c r="T90" s="43"/>
      <c r="U90" s="42"/>
    </row>
    <row r="91" spans="1:21" ht="21" customHeight="1" x14ac:dyDescent="0.3">
      <c r="A91" s="44" t="str">
        <f t="shared" si="4"/>
        <v>11</v>
      </c>
      <c r="B91" s="41">
        <f t="shared" si="5"/>
        <v>1</v>
      </c>
      <c r="C91" s="41" t="str">
        <f t="shared" si="6"/>
        <v/>
      </c>
      <c r="D91" s="41">
        <f t="shared" si="7"/>
        <v>1</v>
      </c>
      <c r="E91" s="62"/>
      <c r="F91" s="1"/>
      <c r="G91" s="1">
        <v>88</v>
      </c>
      <c r="H91" s="4" t="s">
        <v>588</v>
      </c>
      <c r="I91" s="4" t="str">
        <f>IF(ISERROR(VLOOKUP(H91,#REF!,9,0)),"",VLOOKUP(H91,#REF!,9,0))</f>
        <v/>
      </c>
      <c r="J91" s="42" t="s">
        <v>588</v>
      </c>
      <c r="K91" s="1" t="s">
        <v>161</v>
      </c>
      <c r="L91" s="1" t="s">
        <v>47</v>
      </c>
      <c r="M91" s="43">
        <v>2022</v>
      </c>
      <c r="N91" s="42" t="s">
        <v>589</v>
      </c>
      <c r="O91" s="43" t="s">
        <v>163</v>
      </c>
      <c r="P91" s="43"/>
      <c r="Q91" s="43"/>
      <c r="R91" s="43"/>
      <c r="S91" s="43"/>
      <c r="T91" s="43"/>
      <c r="U91" s="42"/>
    </row>
    <row r="92" spans="1:21" ht="21" customHeight="1" x14ac:dyDescent="0.3">
      <c r="A92" s="44" t="str">
        <f t="shared" si="4"/>
        <v>11</v>
      </c>
      <c r="B92" s="41">
        <f t="shared" si="5"/>
        <v>1</v>
      </c>
      <c r="C92" s="41" t="str">
        <f t="shared" si="6"/>
        <v/>
      </c>
      <c r="D92" s="41">
        <f t="shared" si="7"/>
        <v>1</v>
      </c>
      <c r="E92" s="62"/>
      <c r="F92" s="1" t="s">
        <v>159</v>
      </c>
      <c r="G92" s="1">
        <v>89</v>
      </c>
      <c r="H92" s="4" t="s">
        <v>590</v>
      </c>
      <c r="I92" s="4" t="str">
        <f>IF(ISERROR(VLOOKUP(H92,#REF!,9,0)),"",VLOOKUP(H92,#REF!,9,0))</f>
        <v/>
      </c>
      <c r="J92" s="42" t="s">
        <v>591</v>
      </c>
      <c r="K92" s="1" t="s">
        <v>161</v>
      </c>
      <c r="L92" s="1" t="s">
        <v>47</v>
      </c>
      <c r="M92" s="43">
        <v>2022</v>
      </c>
      <c r="N92" s="42"/>
      <c r="O92" s="43" t="s">
        <v>163</v>
      </c>
      <c r="P92" s="43"/>
      <c r="Q92" s="43"/>
      <c r="R92" s="43"/>
      <c r="S92" s="43"/>
      <c r="T92" s="43"/>
      <c r="U92" s="42"/>
    </row>
    <row r="93" spans="1:21" ht="21" customHeight="1" x14ac:dyDescent="0.3">
      <c r="A93" s="44" t="str">
        <f t="shared" si="4"/>
        <v>1</v>
      </c>
      <c r="B93" s="41">
        <f t="shared" si="5"/>
        <v>1</v>
      </c>
      <c r="C93" s="41" t="str">
        <f t="shared" si="6"/>
        <v/>
      </c>
      <c r="D93" s="41" t="str">
        <f t="shared" si="7"/>
        <v/>
      </c>
      <c r="E93" s="62"/>
      <c r="F93" s="1"/>
      <c r="G93" s="1">
        <v>90</v>
      </c>
      <c r="H93" s="4" t="s">
        <v>175</v>
      </c>
      <c r="I93" s="4" t="str">
        <f>IF(ISERROR(VLOOKUP(H93,#REF!,9,0)),"",VLOOKUP(H93,#REF!,9,0))</f>
        <v/>
      </c>
      <c r="J93" s="42"/>
      <c r="K93" s="1" t="s">
        <v>161</v>
      </c>
      <c r="L93" s="1" t="s">
        <v>522</v>
      </c>
      <c r="M93" s="43">
        <v>2022</v>
      </c>
      <c r="N93" s="42"/>
      <c r="O93" s="43" t="s">
        <v>163</v>
      </c>
      <c r="P93" s="43"/>
      <c r="Q93" s="43"/>
      <c r="R93" s="43"/>
      <c r="S93" s="43"/>
      <c r="T93" s="43"/>
      <c r="U93" s="42"/>
    </row>
    <row r="94" spans="1:21" ht="21" customHeight="1" x14ac:dyDescent="0.3">
      <c r="A94" s="44" t="str">
        <f t="shared" si="4"/>
        <v>11</v>
      </c>
      <c r="B94" s="41">
        <f t="shared" si="5"/>
        <v>1</v>
      </c>
      <c r="C94" s="41" t="str">
        <f t="shared" si="6"/>
        <v/>
      </c>
      <c r="D94" s="41">
        <f t="shared" si="7"/>
        <v>1</v>
      </c>
      <c r="E94" s="62"/>
      <c r="F94" s="1" t="s">
        <v>159</v>
      </c>
      <c r="G94" s="1">
        <v>91</v>
      </c>
      <c r="H94" s="4" t="s">
        <v>592</v>
      </c>
      <c r="I94" s="4" t="str">
        <f>IF(ISERROR(VLOOKUP(H94,#REF!,9,0)),"",VLOOKUP(H94,#REF!,9,0))</f>
        <v/>
      </c>
      <c r="J94" s="42" t="s">
        <v>592</v>
      </c>
      <c r="K94" s="1" t="s">
        <v>161</v>
      </c>
      <c r="L94" s="1" t="s">
        <v>47</v>
      </c>
      <c r="M94" s="43">
        <v>2022</v>
      </c>
      <c r="N94" s="42" t="s">
        <v>593</v>
      </c>
      <c r="O94" s="43" t="s">
        <v>163</v>
      </c>
      <c r="P94" s="43"/>
      <c r="Q94" s="43"/>
      <c r="R94" s="43"/>
      <c r="S94" s="43"/>
      <c r="T94" s="43"/>
      <c r="U94" s="42"/>
    </row>
    <row r="95" spans="1:21" ht="21" customHeight="1" x14ac:dyDescent="0.3">
      <c r="A95" s="44" t="str">
        <f t="shared" si="4"/>
        <v>11</v>
      </c>
      <c r="B95" s="41">
        <f t="shared" si="5"/>
        <v>1</v>
      </c>
      <c r="C95" s="41" t="str">
        <f t="shared" si="6"/>
        <v/>
      </c>
      <c r="D95" s="41">
        <f t="shared" si="7"/>
        <v>1</v>
      </c>
      <c r="E95" s="62"/>
      <c r="F95" s="1" t="s">
        <v>159</v>
      </c>
      <c r="G95" s="1">
        <v>92</v>
      </c>
      <c r="H95" s="4" t="s">
        <v>594</v>
      </c>
      <c r="I95" s="4" t="str">
        <f>IF(ISERROR(VLOOKUP(H95,#REF!,9,0)),"",VLOOKUP(H95,#REF!,9,0))</f>
        <v/>
      </c>
      <c r="J95" s="42" t="s">
        <v>595</v>
      </c>
      <c r="K95" s="1" t="s">
        <v>161</v>
      </c>
      <c r="L95" s="1" t="s">
        <v>47</v>
      </c>
      <c r="M95" s="43">
        <v>2022</v>
      </c>
      <c r="N95" s="42"/>
      <c r="O95" s="43" t="s">
        <v>163</v>
      </c>
      <c r="P95" s="43"/>
      <c r="Q95" s="43"/>
      <c r="R95" s="43"/>
      <c r="S95" s="43"/>
      <c r="T95" s="43"/>
      <c r="U95" s="42"/>
    </row>
    <row r="96" spans="1:21" ht="21" customHeight="1" x14ac:dyDescent="0.3">
      <c r="A96" s="44" t="str">
        <f t="shared" si="4"/>
        <v>1</v>
      </c>
      <c r="B96" s="41">
        <f t="shared" si="5"/>
        <v>1</v>
      </c>
      <c r="C96" s="41" t="str">
        <f t="shared" si="6"/>
        <v/>
      </c>
      <c r="D96" s="41" t="str">
        <f t="shared" si="7"/>
        <v/>
      </c>
      <c r="E96" s="62"/>
      <c r="F96" s="1"/>
      <c r="G96" s="1">
        <v>93</v>
      </c>
      <c r="H96" s="4" t="s">
        <v>176</v>
      </c>
      <c r="I96" s="4" t="str">
        <f>IF(ISERROR(VLOOKUP(H96,#REF!,9,0)),"",VLOOKUP(H96,#REF!,9,0))</f>
        <v/>
      </c>
      <c r="J96" s="42"/>
      <c r="K96" s="1" t="s">
        <v>161</v>
      </c>
      <c r="L96" s="1" t="s">
        <v>522</v>
      </c>
      <c r="M96" s="43">
        <v>2022</v>
      </c>
      <c r="N96" s="42"/>
      <c r="O96" s="43" t="s">
        <v>163</v>
      </c>
      <c r="P96" s="43"/>
      <c r="Q96" s="43"/>
      <c r="R96" s="43"/>
      <c r="S96" s="43"/>
      <c r="T96" s="43"/>
      <c r="U96" s="42"/>
    </row>
    <row r="97" spans="1:21" ht="21" customHeight="1" x14ac:dyDescent="0.3">
      <c r="A97" s="44" t="str">
        <f t="shared" si="4"/>
        <v>1</v>
      </c>
      <c r="B97" s="41">
        <f t="shared" si="5"/>
        <v>1</v>
      </c>
      <c r="C97" s="41" t="str">
        <f t="shared" si="6"/>
        <v/>
      </c>
      <c r="D97" s="41" t="str">
        <f t="shared" si="7"/>
        <v/>
      </c>
      <c r="E97" s="62"/>
      <c r="F97" s="1"/>
      <c r="G97" s="1">
        <v>94</v>
      </c>
      <c r="H97" s="4" t="s">
        <v>177</v>
      </c>
      <c r="I97" s="4" t="str">
        <f>IF(ISERROR(VLOOKUP(H97,#REF!,9,0)),"",VLOOKUP(H97,#REF!,9,0))</f>
        <v/>
      </c>
      <c r="J97" s="42"/>
      <c r="K97" s="1" t="s">
        <v>161</v>
      </c>
      <c r="L97" s="1" t="s">
        <v>522</v>
      </c>
      <c r="M97" s="43">
        <v>2022</v>
      </c>
      <c r="N97" s="42"/>
      <c r="O97" s="43" t="s">
        <v>163</v>
      </c>
      <c r="P97" s="43"/>
      <c r="Q97" s="43"/>
      <c r="R97" s="43"/>
      <c r="S97" s="43"/>
      <c r="T97" s="43"/>
      <c r="U97" s="42"/>
    </row>
    <row r="98" spans="1:21" ht="21" customHeight="1" x14ac:dyDescent="0.3">
      <c r="A98" s="44" t="str">
        <f t="shared" si="4"/>
        <v>1</v>
      </c>
      <c r="B98" s="41">
        <f t="shared" si="5"/>
        <v>1</v>
      </c>
      <c r="C98" s="41" t="str">
        <f t="shared" si="6"/>
        <v/>
      </c>
      <c r="D98" s="41" t="str">
        <f t="shared" si="7"/>
        <v/>
      </c>
      <c r="E98" s="62"/>
      <c r="F98" s="1"/>
      <c r="G98" s="1">
        <v>95</v>
      </c>
      <c r="H98" s="4" t="s">
        <v>179</v>
      </c>
      <c r="I98" s="4" t="str">
        <f>IF(ISERROR(VLOOKUP(H98,#REF!,9,0)),"",VLOOKUP(H98,#REF!,9,0))</f>
        <v/>
      </c>
      <c r="J98" s="42"/>
      <c r="K98" s="1" t="s">
        <v>161</v>
      </c>
      <c r="L98" s="1" t="s">
        <v>522</v>
      </c>
      <c r="M98" s="43">
        <v>2022</v>
      </c>
      <c r="N98" s="42"/>
      <c r="O98" s="43" t="s">
        <v>163</v>
      </c>
      <c r="P98" s="43"/>
      <c r="Q98" s="43"/>
      <c r="R98" s="43"/>
      <c r="S98" s="43"/>
      <c r="T98" s="43"/>
      <c r="U98" s="42"/>
    </row>
    <row r="99" spans="1:21" ht="21" customHeight="1" x14ac:dyDescent="0.3">
      <c r="A99" s="44" t="str">
        <f t="shared" si="4"/>
        <v>1</v>
      </c>
      <c r="B99" s="41">
        <f t="shared" si="5"/>
        <v>1</v>
      </c>
      <c r="C99" s="41" t="str">
        <f t="shared" si="6"/>
        <v/>
      </c>
      <c r="D99" s="41" t="str">
        <f t="shared" si="7"/>
        <v/>
      </c>
      <c r="E99" s="62"/>
      <c r="F99" s="1"/>
      <c r="G99" s="1">
        <v>96</v>
      </c>
      <c r="H99" s="4" t="s">
        <v>181</v>
      </c>
      <c r="I99" s="4" t="str">
        <f>IF(ISERROR(VLOOKUP(H99,#REF!,9,0)),"",VLOOKUP(H99,#REF!,9,0))</f>
        <v/>
      </c>
      <c r="J99" s="42"/>
      <c r="K99" s="1" t="s">
        <v>161</v>
      </c>
      <c r="L99" s="1" t="s">
        <v>522</v>
      </c>
      <c r="M99" s="43">
        <v>2022</v>
      </c>
      <c r="N99" s="42"/>
      <c r="O99" s="43" t="s">
        <v>163</v>
      </c>
      <c r="P99" s="43"/>
      <c r="Q99" s="43"/>
      <c r="R99" s="43"/>
      <c r="S99" s="43"/>
      <c r="T99" s="43"/>
      <c r="U99" s="42"/>
    </row>
    <row r="100" spans="1:21" ht="21" customHeight="1" x14ac:dyDescent="0.3">
      <c r="A100" s="44" t="str">
        <f t="shared" si="4"/>
        <v>11</v>
      </c>
      <c r="B100" s="41">
        <f t="shared" si="5"/>
        <v>1</v>
      </c>
      <c r="C100" s="41" t="str">
        <f t="shared" si="6"/>
        <v/>
      </c>
      <c r="D100" s="41">
        <f t="shared" si="7"/>
        <v>1</v>
      </c>
      <c r="E100" s="62" t="s">
        <v>158</v>
      </c>
      <c r="F100" s="1"/>
      <c r="G100" s="1">
        <v>97</v>
      </c>
      <c r="H100" s="4" t="s">
        <v>596</v>
      </c>
      <c r="I100" s="4" t="str">
        <f>IF(ISERROR(VLOOKUP(H100,#REF!,9,0)),"",VLOOKUP(H100,#REF!,9,0))</f>
        <v/>
      </c>
      <c r="J100" s="42" t="s">
        <v>597</v>
      </c>
      <c r="K100" s="1" t="s">
        <v>161</v>
      </c>
      <c r="L100" s="1" t="s">
        <v>47</v>
      </c>
      <c r="M100" s="43">
        <v>2022</v>
      </c>
      <c r="N100" s="42"/>
      <c r="O100" s="43" t="s">
        <v>163</v>
      </c>
      <c r="P100" s="43"/>
      <c r="Q100" s="43"/>
      <c r="R100" s="43"/>
      <c r="S100" s="43"/>
      <c r="T100" s="43"/>
      <c r="U100" s="42"/>
    </row>
    <row r="101" spans="1:21" ht="21" customHeight="1" x14ac:dyDescent="0.3">
      <c r="A101" s="44" t="str">
        <f t="shared" si="4"/>
        <v>11</v>
      </c>
      <c r="B101" s="41">
        <f t="shared" si="5"/>
        <v>1</v>
      </c>
      <c r="C101" s="41" t="str">
        <f t="shared" si="6"/>
        <v/>
      </c>
      <c r="D101" s="41">
        <f t="shared" si="7"/>
        <v>1</v>
      </c>
      <c r="E101" s="62"/>
      <c r="F101" s="1" t="s">
        <v>598</v>
      </c>
      <c r="G101" s="1">
        <v>98</v>
      </c>
      <c r="H101" s="4" t="s">
        <v>599</v>
      </c>
      <c r="I101" s="4" t="str">
        <f>IF(ISERROR(VLOOKUP(H101,#REF!,9,0)),"",VLOOKUP(H101,#REF!,9,0))</f>
        <v/>
      </c>
      <c r="J101" s="42" t="s">
        <v>599</v>
      </c>
      <c r="K101" s="1" t="s">
        <v>161</v>
      </c>
      <c r="L101" s="1" t="s">
        <v>47</v>
      </c>
      <c r="M101" s="43">
        <v>2022</v>
      </c>
      <c r="N101" s="42" t="s">
        <v>600</v>
      </c>
      <c r="O101" s="43" t="s">
        <v>163</v>
      </c>
      <c r="P101" s="43"/>
      <c r="Q101" s="43"/>
      <c r="R101" s="43"/>
      <c r="S101" s="43"/>
      <c r="T101" s="43"/>
      <c r="U101" s="42"/>
    </row>
    <row r="102" spans="1:21" ht="21" customHeight="1" x14ac:dyDescent="0.3">
      <c r="A102" s="44" t="str">
        <f t="shared" si="4"/>
        <v>11</v>
      </c>
      <c r="B102" s="41">
        <f t="shared" si="5"/>
        <v>1</v>
      </c>
      <c r="C102" s="41" t="str">
        <f t="shared" si="6"/>
        <v/>
      </c>
      <c r="D102" s="41">
        <f t="shared" si="7"/>
        <v>1</v>
      </c>
      <c r="E102" s="62"/>
      <c r="F102" s="1"/>
      <c r="G102" s="1">
        <v>99</v>
      </c>
      <c r="H102" s="4" t="s">
        <v>601</v>
      </c>
      <c r="I102" s="4" t="str">
        <f>IF(ISERROR(VLOOKUP(H102,#REF!,9,0)),"",VLOOKUP(H102,#REF!,9,0))</f>
        <v/>
      </c>
      <c r="J102" s="42" t="s">
        <v>602</v>
      </c>
      <c r="K102" s="1" t="s">
        <v>161</v>
      </c>
      <c r="L102" s="1" t="s">
        <v>47</v>
      </c>
      <c r="M102" s="43">
        <v>2022</v>
      </c>
      <c r="N102" s="42" t="s">
        <v>603</v>
      </c>
      <c r="O102" s="43" t="s">
        <v>163</v>
      </c>
      <c r="P102" s="43"/>
      <c r="Q102" s="43"/>
      <c r="R102" s="43"/>
      <c r="S102" s="43"/>
      <c r="T102" s="43"/>
      <c r="U102" s="42"/>
    </row>
    <row r="103" spans="1:21" ht="21" customHeight="1" x14ac:dyDescent="0.3">
      <c r="A103" s="44" t="str">
        <f t="shared" si="4"/>
        <v>11</v>
      </c>
      <c r="B103" s="41">
        <f t="shared" si="5"/>
        <v>1</v>
      </c>
      <c r="C103" s="41" t="str">
        <f t="shared" si="6"/>
        <v/>
      </c>
      <c r="D103" s="41">
        <f t="shared" si="7"/>
        <v>1</v>
      </c>
      <c r="E103" s="62"/>
      <c r="F103" s="1" t="s">
        <v>598</v>
      </c>
      <c r="G103" s="1">
        <v>100</v>
      </c>
      <c r="H103" s="4" t="s">
        <v>598</v>
      </c>
      <c r="I103" s="4" t="str">
        <f>IF(ISERROR(VLOOKUP(H103,#REF!,9,0)),"",VLOOKUP(H103,#REF!,9,0))</f>
        <v/>
      </c>
      <c r="J103" s="42" t="s">
        <v>604</v>
      </c>
      <c r="K103" s="1" t="s">
        <v>161</v>
      </c>
      <c r="L103" s="1" t="s">
        <v>47</v>
      </c>
      <c r="M103" s="43">
        <v>2022</v>
      </c>
      <c r="N103" s="42" t="s">
        <v>605</v>
      </c>
      <c r="O103" s="43" t="s">
        <v>163</v>
      </c>
      <c r="P103" s="43"/>
      <c r="Q103" s="43"/>
      <c r="R103" s="43"/>
      <c r="S103" s="43"/>
      <c r="T103" s="43"/>
      <c r="U103" s="42"/>
    </row>
    <row r="104" spans="1:21" ht="21" customHeight="1" x14ac:dyDescent="0.3">
      <c r="A104" s="44" t="str">
        <f t="shared" si="4"/>
        <v>11</v>
      </c>
      <c r="B104" s="41">
        <f t="shared" si="5"/>
        <v>1</v>
      </c>
      <c r="C104" s="41" t="str">
        <f t="shared" si="6"/>
        <v/>
      </c>
      <c r="D104" s="41">
        <f t="shared" si="7"/>
        <v>1</v>
      </c>
      <c r="E104" s="62"/>
      <c r="F104" s="1" t="s">
        <v>606</v>
      </c>
      <c r="G104" s="1">
        <v>101</v>
      </c>
      <c r="H104" s="4" t="s">
        <v>606</v>
      </c>
      <c r="I104" s="4" t="str">
        <f>IF(ISERROR(VLOOKUP(H104,#REF!,9,0)),"",VLOOKUP(H104,#REF!,9,0))</f>
        <v/>
      </c>
      <c r="J104" s="42" t="s">
        <v>607</v>
      </c>
      <c r="K104" s="1" t="s">
        <v>161</v>
      </c>
      <c r="L104" s="1" t="s">
        <v>47</v>
      </c>
      <c r="M104" s="43">
        <v>2022</v>
      </c>
      <c r="N104" s="42" t="s">
        <v>608</v>
      </c>
      <c r="O104" s="43" t="s">
        <v>163</v>
      </c>
      <c r="P104" s="43"/>
      <c r="Q104" s="43"/>
      <c r="R104" s="43"/>
      <c r="S104" s="43"/>
      <c r="T104" s="43"/>
      <c r="U104" s="42"/>
    </row>
    <row r="105" spans="1:21" ht="21" customHeight="1" x14ac:dyDescent="0.3">
      <c r="A105" s="44" t="str">
        <f t="shared" si="4"/>
        <v>1</v>
      </c>
      <c r="B105" s="41" t="str">
        <f t="shared" si="5"/>
        <v/>
      </c>
      <c r="C105" s="41" t="str">
        <f t="shared" si="6"/>
        <v/>
      </c>
      <c r="D105" s="41">
        <f t="shared" si="7"/>
        <v>1</v>
      </c>
      <c r="E105" s="62"/>
      <c r="F105" s="1"/>
      <c r="G105" s="1">
        <v>102</v>
      </c>
      <c r="H105" s="4"/>
      <c r="I105" s="4" t="str">
        <f>IF(ISERROR(VLOOKUP(H105,#REF!,9,0)),"",VLOOKUP(H105,#REF!,9,0))</f>
        <v/>
      </c>
      <c r="J105" s="42" t="s">
        <v>609</v>
      </c>
      <c r="K105" s="1" t="s">
        <v>161</v>
      </c>
      <c r="L105" s="1" t="s">
        <v>47</v>
      </c>
      <c r="M105" s="43">
        <v>2022</v>
      </c>
      <c r="N105" s="42"/>
      <c r="O105" s="43" t="s">
        <v>163</v>
      </c>
      <c r="P105" s="43"/>
      <c r="Q105" s="43"/>
      <c r="R105" s="43"/>
      <c r="S105" s="43"/>
      <c r="T105" s="43"/>
      <c r="U105" s="42"/>
    </row>
    <row r="106" spans="1:21" ht="21" customHeight="1" x14ac:dyDescent="0.3">
      <c r="A106" s="44" t="str">
        <f t="shared" si="4"/>
        <v>1</v>
      </c>
      <c r="B106" s="41">
        <f t="shared" si="5"/>
        <v>1</v>
      </c>
      <c r="C106" s="41" t="str">
        <f t="shared" si="6"/>
        <v/>
      </c>
      <c r="D106" s="41" t="str">
        <f t="shared" si="7"/>
        <v/>
      </c>
      <c r="E106" s="62"/>
      <c r="F106" s="1" t="s">
        <v>182</v>
      </c>
      <c r="G106" s="1">
        <v>103</v>
      </c>
      <c r="H106" s="4" t="s">
        <v>183</v>
      </c>
      <c r="I106" s="4" t="str">
        <f>IF(ISERROR(VLOOKUP(H106,#REF!,9,0)),"",VLOOKUP(H106,#REF!,9,0))</f>
        <v/>
      </c>
      <c r="J106" s="42"/>
      <c r="K106" s="1" t="s">
        <v>161</v>
      </c>
      <c r="L106" s="1" t="s">
        <v>522</v>
      </c>
      <c r="M106" s="43">
        <v>2022</v>
      </c>
      <c r="N106" s="42"/>
      <c r="O106" s="43" t="s">
        <v>163</v>
      </c>
      <c r="P106" s="43"/>
      <c r="Q106" s="43"/>
      <c r="R106" s="43"/>
      <c r="S106" s="43"/>
      <c r="T106" s="43"/>
      <c r="U106" s="42"/>
    </row>
    <row r="107" spans="1:21" ht="21" customHeight="1" x14ac:dyDescent="0.3">
      <c r="A107" s="44" t="str">
        <f t="shared" si="4"/>
        <v>1</v>
      </c>
      <c r="B107" s="41">
        <f t="shared" si="5"/>
        <v>1</v>
      </c>
      <c r="C107" s="41" t="str">
        <f t="shared" si="6"/>
        <v/>
      </c>
      <c r="D107" s="41" t="str">
        <f t="shared" si="7"/>
        <v/>
      </c>
      <c r="E107" s="62"/>
      <c r="F107" s="1" t="s">
        <v>184</v>
      </c>
      <c r="G107" s="1">
        <v>104</v>
      </c>
      <c r="H107" s="4" t="s">
        <v>185</v>
      </c>
      <c r="I107" s="4" t="str">
        <f>IF(ISERROR(VLOOKUP(H107,#REF!,9,0)),"",VLOOKUP(H107,#REF!,9,0))</f>
        <v/>
      </c>
      <c r="J107" s="42"/>
      <c r="K107" s="1" t="s">
        <v>161</v>
      </c>
      <c r="L107" s="1" t="s">
        <v>522</v>
      </c>
      <c r="M107" s="43">
        <v>2022</v>
      </c>
      <c r="N107" s="42"/>
      <c r="O107" s="43" t="s">
        <v>163</v>
      </c>
      <c r="P107" s="43"/>
      <c r="Q107" s="43"/>
      <c r="R107" s="43"/>
      <c r="S107" s="43"/>
      <c r="T107" s="43"/>
      <c r="U107" s="42"/>
    </row>
    <row r="108" spans="1:21" ht="21" customHeight="1" x14ac:dyDescent="0.3">
      <c r="A108" s="44" t="str">
        <f t="shared" si="4"/>
        <v>1</v>
      </c>
      <c r="B108" s="41">
        <f t="shared" si="5"/>
        <v>1</v>
      </c>
      <c r="C108" s="41" t="str">
        <f t="shared" si="6"/>
        <v/>
      </c>
      <c r="D108" s="41" t="str">
        <f t="shared" si="7"/>
        <v/>
      </c>
      <c r="E108" s="62"/>
      <c r="F108" s="1" t="s">
        <v>184</v>
      </c>
      <c r="G108" s="1">
        <v>105</v>
      </c>
      <c r="H108" s="4" t="s">
        <v>187</v>
      </c>
      <c r="I108" s="4" t="str">
        <f>IF(ISERROR(VLOOKUP(H108,#REF!,9,0)),"",VLOOKUP(H108,#REF!,9,0))</f>
        <v/>
      </c>
      <c r="J108" s="42"/>
      <c r="K108" s="1" t="s">
        <v>161</v>
      </c>
      <c r="L108" s="1" t="s">
        <v>522</v>
      </c>
      <c r="M108" s="43">
        <v>2022</v>
      </c>
      <c r="N108" s="42"/>
      <c r="O108" s="43" t="s">
        <v>163</v>
      </c>
      <c r="P108" s="43"/>
      <c r="Q108" s="43"/>
      <c r="R108" s="43"/>
      <c r="S108" s="43"/>
      <c r="T108" s="43"/>
      <c r="U108" s="42"/>
    </row>
    <row r="109" spans="1:21" ht="21" customHeight="1" x14ac:dyDescent="0.3">
      <c r="A109" s="44" t="str">
        <f t="shared" si="4"/>
        <v>1</v>
      </c>
      <c r="B109" s="41">
        <f t="shared" si="5"/>
        <v>1</v>
      </c>
      <c r="C109" s="41" t="str">
        <f t="shared" si="6"/>
        <v/>
      </c>
      <c r="D109" s="41" t="str">
        <f t="shared" si="7"/>
        <v/>
      </c>
      <c r="E109" s="62"/>
      <c r="F109" s="1" t="s">
        <v>184</v>
      </c>
      <c r="G109" s="1">
        <v>106</v>
      </c>
      <c r="H109" s="4" t="s">
        <v>188</v>
      </c>
      <c r="I109" s="4" t="str">
        <f>IF(ISERROR(VLOOKUP(H109,#REF!,9,0)),"",VLOOKUP(H109,#REF!,9,0))</f>
        <v/>
      </c>
      <c r="J109" s="42"/>
      <c r="K109" s="1" t="s">
        <v>161</v>
      </c>
      <c r="L109" s="1" t="s">
        <v>522</v>
      </c>
      <c r="M109" s="43">
        <v>2022</v>
      </c>
      <c r="N109" s="42"/>
      <c r="O109" s="43" t="s">
        <v>163</v>
      </c>
      <c r="P109" s="43"/>
      <c r="Q109" s="43"/>
      <c r="R109" s="43"/>
      <c r="S109" s="43"/>
      <c r="T109" s="43"/>
      <c r="U109" s="42"/>
    </row>
    <row r="110" spans="1:21" ht="21" customHeight="1" x14ac:dyDescent="0.3">
      <c r="A110" s="44" t="str">
        <f t="shared" si="4"/>
        <v>1</v>
      </c>
      <c r="B110" s="41">
        <f t="shared" si="5"/>
        <v>1</v>
      </c>
      <c r="C110" s="41" t="str">
        <f t="shared" si="6"/>
        <v/>
      </c>
      <c r="D110" s="41" t="str">
        <f t="shared" si="7"/>
        <v/>
      </c>
      <c r="E110" s="62"/>
      <c r="F110" s="1" t="s">
        <v>184</v>
      </c>
      <c r="G110" s="1">
        <v>107</v>
      </c>
      <c r="H110" s="4" t="s">
        <v>189</v>
      </c>
      <c r="I110" s="4" t="str">
        <f>IF(ISERROR(VLOOKUP(H110,#REF!,9,0)),"",VLOOKUP(H110,#REF!,9,0))</f>
        <v/>
      </c>
      <c r="J110" s="42"/>
      <c r="K110" s="1" t="s">
        <v>161</v>
      </c>
      <c r="L110" s="1" t="s">
        <v>522</v>
      </c>
      <c r="M110" s="43">
        <v>2022</v>
      </c>
      <c r="N110" s="42"/>
      <c r="O110" s="43" t="s">
        <v>163</v>
      </c>
      <c r="P110" s="43"/>
      <c r="Q110" s="43"/>
      <c r="R110" s="43"/>
      <c r="S110" s="43"/>
      <c r="T110" s="43"/>
      <c r="U110" s="42"/>
    </row>
    <row r="111" spans="1:21" ht="21" customHeight="1" x14ac:dyDescent="0.3">
      <c r="A111" s="44" t="str">
        <f t="shared" si="4"/>
        <v>1</v>
      </c>
      <c r="B111" s="41">
        <f t="shared" si="5"/>
        <v>1</v>
      </c>
      <c r="C111" s="41" t="str">
        <f t="shared" si="6"/>
        <v/>
      </c>
      <c r="D111" s="41" t="str">
        <f t="shared" si="7"/>
        <v/>
      </c>
      <c r="E111" s="62"/>
      <c r="F111" s="1" t="s">
        <v>190</v>
      </c>
      <c r="G111" s="1">
        <v>108</v>
      </c>
      <c r="H111" s="4" t="s">
        <v>191</v>
      </c>
      <c r="I111" s="4" t="str">
        <f>IF(ISERROR(VLOOKUP(H111,#REF!,9,0)),"",VLOOKUP(H111,#REF!,9,0))</f>
        <v/>
      </c>
      <c r="J111" s="42"/>
      <c r="K111" s="1" t="s">
        <v>161</v>
      </c>
      <c r="L111" s="1" t="s">
        <v>522</v>
      </c>
      <c r="M111" s="43">
        <v>2022</v>
      </c>
      <c r="N111" s="42"/>
      <c r="O111" s="43" t="s">
        <v>163</v>
      </c>
      <c r="P111" s="43"/>
      <c r="Q111" s="43"/>
      <c r="R111" s="43"/>
      <c r="S111" s="43"/>
      <c r="T111" s="43"/>
      <c r="U111" s="42"/>
    </row>
    <row r="112" spans="1:21" ht="21" customHeight="1" x14ac:dyDescent="0.3">
      <c r="A112" s="44" t="str">
        <f t="shared" si="4"/>
        <v>1</v>
      </c>
      <c r="B112" s="41">
        <f t="shared" si="5"/>
        <v>1</v>
      </c>
      <c r="C112" s="41" t="str">
        <f t="shared" si="6"/>
        <v/>
      </c>
      <c r="D112" s="41" t="str">
        <f t="shared" si="7"/>
        <v/>
      </c>
      <c r="E112" s="62"/>
      <c r="F112" s="1" t="s">
        <v>192</v>
      </c>
      <c r="G112" s="1">
        <v>109</v>
      </c>
      <c r="H112" s="4" t="s">
        <v>193</v>
      </c>
      <c r="I112" s="4" t="str">
        <f>IF(ISERROR(VLOOKUP(H112,#REF!,9,0)),"",VLOOKUP(H112,#REF!,9,0))</f>
        <v/>
      </c>
      <c r="J112" s="42"/>
      <c r="K112" s="1" t="s">
        <v>161</v>
      </c>
      <c r="L112" s="1" t="s">
        <v>522</v>
      </c>
      <c r="M112" s="43">
        <v>2022</v>
      </c>
      <c r="N112" s="42"/>
      <c r="O112" s="43" t="s">
        <v>163</v>
      </c>
      <c r="P112" s="43"/>
      <c r="Q112" s="43"/>
      <c r="R112" s="43"/>
      <c r="S112" s="43"/>
      <c r="T112" s="43"/>
      <c r="U112" s="42"/>
    </row>
    <row r="113" spans="1:21" ht="21" customHeight="1" x14ac:dyDescent="0.3">
      <c r="A113" s="44" t="str">
        <f t="shared" si="4"/>
        <v>11</v>
      </c>
      <c r="B113" s="41">
        <f t="shared" si="5"/>
        <v>1</v>
      </c>
      <c r="C113" s="41" t="str">
        <f t="shared" si="6"/>
        <v/>
      </c>
      <c r="D113" s="41">
        <f t="shared" si="7"/>
        <v>1</v>
      </c>
      <c r="E113" s="62"/>
      <c r="F113" s="1" t="s">
        <v>606</v>
      </c>
      <c r="G113" s="1">
        <v>110</v>
      </c>
      <c r="H113" s="4" t="s">
        <v>610</v>
      </c>
      <c r="I113" s="4" t="str">
        <f>IF(ISERROR(VLOOKUP(H113,#REF!,9,0)),"",VLOOKUP(H113,#REF!,9,0))</f>
        <v/>
      </c>
      <c r="J113" s="42" t="s">
        <v>610</v>
      </c>
      <c r="K113" s="1" t="s">
        <v>161</v>
      </c>
      <c r="L113" s="1" t="s">
        <v>47</v>
      </c>
      <c r="M113" s="43">
        <v>2022</v>
      </c>
      <c r="N113" s="42" t="s">
        <v>611</v>
      </c>
      <c r="O113" s="43" t="s">
        <v>163</v>
      </c>
      <c r="P113" s="43"/>
      <c r="Q113" s="43"/>
      <c r="R113" s="43"/>
      <c r="S113" s="43"/>
      <c r="T113" s="43"/>
      <c r="U113" s="42"/>
    </row>
    <row r="114" spans="1:21" ht="21" customHeight="1" x14ac:dyDescent="0.3">
      <c r="A114" s="44" t="str">
        <f t="shared" si="4"/>
        <v>1</v>
      </c>
      <c r="B114" s="41">
        <f t="shared" si="5"/>
        <v>1</v>
      </c>
      <c r="C114" s="41" t="str">
        <f t="shared" si="6"/>
        <v/>
      </c>
      <c r="D114" s="41" t="str">
        <f t="shared" si="7"/>
        <v/>
      </c>
      <c r="E114" s="62"/>
      <c r="F114" s="1" t="s">
        <v>190</v>
      </c>
      <c r="G114" s="1">
        <v>111</v>
      </c>
      <c r="H114" s="4" t="s">
        <v>195</v>
      </c>
      <c r="I114" s="4" t="str">
        <f>IF(ISERROR(VLOOKUP(H114,#REF!,9,0)),"",VLOOKUP(H114,#REF!,9,0))</f>
        <v/>
      </c>
      <c r="J114" s="42"/>
      <c r="K114" s="1" t="s">
        <v>161</v>
      </c>
      <c r="L114" s="1" t="s">
        <v>522</v>
      </c>
      <c r="M114" s="43">
        <v>2022</v>
      </c>
      <c r="N114" s="42"/>
      <c r="O114" s="43" t="s">
        <v>163</v>
      </c>
      <c r="P114" s="43"/>
      <c r="Q114" s="43"/>
      <c r="R114" s="43"/>
      <c r="S114" s="43"/>
      <c r="T114" s="43"/>
      <c r="U114" s="42"/>
    </row>
    <row r="115" spans="1:21" ht="21" customHeight="1" x14ac:dyDescent="0.3">
      <c r="A115" s="44" t="str">
        <f t="shared" si="4"/>
        <v>1</v>
      </c>
      <c r="B115" s="41">
        <f t="shared" si="5"/>
        <v>1</v>
      </c>
      <c r="C115" s="41" t="str">
        <f t="shared" si="6"/>
        <v/>
      </c>
      <c r="D115" s="41" t="str">
        <f t="shared" si="7"/>
        <v/>
      </c>
      <c r="E115" s="62"/>
      <c r="F115" s="1" t="s">
        <v>190</v>
      </c>
      <c r="G115" s="1">
        <v>112</v>
      </c>
      <c r="H115" s="4" t="s">
        <v>196</v>
      </c>
      <c r="I115" s="4" t="str">
        <f>IF(ISERROR(VLOOKUP(H115,#REF!,9,0)),"",VLOOKUP(H115,#REF!,9,0))</f>
        <v/>
      </c>
      <c r="J115" s="42"/>
      <c r="K115" s="1" t="s">
        <v>161</v>
      </c>
      <c r="L115" s="1" t="s">
        <v>522</v>
      </c>
      <c r="M115" s="43">
        <v>2022</v>
      </c>
      <c r="N115" s="42"/>
      <c r="O115" s="43" t="s">
        <v>163</v>
      </c>
      <c r="P115" s="43"/>
      <c r="Q115" s="43"/>
      <c r="R115" s="43"/>
      <c r="S115" s="43"/>
      <c r="T115" s="43"/>
      <c r="U115" s="42"/>
    </row>
    <row r="116" spans="1:21" ht="21" customHeight="1" x14ac:dyDescent="0.3">
      <c r="A116" s="44" t="str">
        <f t="shared" si="4"/>
        <v>1</v>
      </c>
      <c r="B116" s="41">
        <f t="shared" si="5"/>
        <v>1</v>
      </c>
      <c r="C116" s="41" t="str">
        <f t="shared" si="6"/>
        <v/>
      </c>
      <c r="D116" s="41" t="str">
        <f t="shared" si="7"/>
        <v/>
      </c>
      <c r="E116" s="62"/>
      <c r="F116" s="1" t="s">
        <v>227</v>
      </c>
      <c r="G116" s="1">
        <v>113</v>
      </c>
      <c r="H116" s="4" t="s">
        <v>612</v>
      </c>
      <c r="I116" s="4" t="str">
        <f>IF(ISERROR(VLOOKUP(H116,#REF!,9,0)),"",VLOOKUP(H116,#REF!,9,0))</f>
        <v/>
      </c>
      <c r="J116" s="42"/>
      <c r="K116" s="1" t="s">
        <v>161</v>
      </c>
      <c r="L116" s="1" t="s">
        <v>47</v>
      </c>
      <c r="M116" s="43">
        <v>2022</v>
      </c>
      <c r="N116" s="42"/>
      <c r="O116" s="43" t="s">
        <v>613</v>
      </c>
      <c r="P116" s="43"/>
      <c r="Q116" s="43"/>
      <c r="R116" s="43"/>
      <c r="S116" s="43"/>
      <c r="T116" s="43"/>
      <c r="U116" s="42"/>
    </row>
    <row r="117" spans="1:21" ht="21" customHeight="1" x14ac:dyDescent="0.3">
      <c r="A117" s="44" t="str">
        <f t="shared" si="4"/>
        <v>11</v>
      </c>
      <c r="B117" s="41">
        <f t="shared" si="5"/>
        <v>1</v>
      </c>
      <c r="C117" s="41" t="str">
        <f t="shared" si="6"/>
        <v/>
      </c>
      <c r="D117" s="41">
        <f t="shared" si="7"/>
        <v>1</v>
      </c>
      <c r="E117" s="62"/>
      <c r="F117" s="1" t="s">
        <v>227</v>
      </c>
      <c r="G117" s="1">
        <v>114</v>
      </c>
      <c r="H117" s="4" t="s">
        <v>614</v>
      </c>
      <c r="I117" s="4" t="str">
        <f>IF(ISERROR(VLOOKUP(H117,#REF!,9,0)),"",VLOOKUP(H117,#REF!,9,0))</f>
        <v/>
      </c>
      <c r="J117" s="42" t="s">
        <v>615</v>
      </c>
      <c r="K117" s="1" t="s">
        <v>161</v>
      </c>
      <c r="L117" s="1" t="s">
        <v>47</v>
      </c>
      <c r="M117" s="43">
        <v>2022</v>
      </c>
      <c r="N117" s="42"/>
      <c r="O117" s="43" t="s">
        <v>163</v>
      </c>
      <c r="P117" s="43"/>
      <c r="Q117" s="43"/>
      <c r="R117" s="43"/>
      <c r="S117" s="43"/>
      <c r="T117" s="43"/>
      <c r="U117" s="42"/>
    </row>
    <row r="118" spans="1:21" ht="21" customHeight="1" x14ac:dyDescent="0.3">
      <c r="A118" s="44" t="str">
        <f t="shared" si="4"/>
        <v>11</v>
      </c>
      <c r="B118" s="41">
        <f t="shared" si="5"/>
        <v>1</v>
      </c>
      <c r="C118" s="41" t="str">
        <f t="shared" si="6"/>
        <v/>
      </c>
      <c r="D118" s="41">
        <f t="shared" si="7"/>
        <v>1</v>
      </c>
      <c r="E118" s="62"/>
      <c r="F118" s="1" t="s">
        <v>227</v>
      </c>
      <c r="G118" s="1">
        <v>115</v>
      </c>
      <c r="H118" s="4" t="s">
        <v>616</v>
      </c>
      <c r="I118" s="4" t="str">
        <f>IF(ISERROR(VLOOKUP(H118,#REF!,9,0)),"",VLOOKUP(H118,#REF!,9,0))</f>
        <v/>
      </c>
      <c r="J118" s="42" t="s">
        <v>617</v>
      </c>
      <c r="K118" s="1" t="s">
        <v>161</v>
      </c>
      <c r="L118" s="1" t="s">
        <v>47</v>
      </c>
      <c r="M118" s="43">
        <v>2022</v>
      </c>
      <c r="N118" s="42"/>
      <c r="O118" s="43" t="s">
        <v>163</v>
      </c>
      <c r="P118" s="43"/>
      <c r="Q118" s="43"/>
      <c r="R118" s="43"/>
      <c r="S118" s="43"/>
      <c r="T118" s="43"/>
      <c r="U118" s="42"/>
    </row>
    <row r="119" spans="1:21" ht="21" customHeight="1" x14ac:dyDescent="0.3">
      <c r="A119" s="44" t="str">
        <f t="shared" si="4"/>
        <v>1</v>
      </c>
      <c r="B119" s="41">
        <f t="shared" si="5"/>
        <v>1</v>
      </c>
      <c r="C119" s="41" t="str">
        <f t="shared" si="6"/>
        <v/>
      </c>
      <c r="D119" s="41" t="str">
        <f t="shared" si="7"/>
        <v/>
      </c>
      <c r="E119" s="62"/>
      <c r="F119" s="1" t="s">
        <v>197</v>
      </c>
      <c r="G119" s="1">
        <v>116</v>
      </c>
      <c r="H119" s="4" t="s">
        <v>198</v>
      </c>
      <c r="I119" s="4" t="str">
        <f>IF(ISERROR(VLOOKUP(H119,#REF!,9,0)),"",VLOOKUP(H119,#REF!,9,0))</f>
        <v/>
      </c>
      <c r="J119" s="42"/>
      <c r="K119" s="1" t="s">
        <v>161</v>
      </c>
      <c r="L119" s="1" t="s">
        <v>522</v>
      </c>
      <c r="M119" s="43">
        <v>2022</v>
      </c>
      <c r="N119" s="42"/>
      <c r="O119" s="43" t="s">
        <v>163</v>
      </c>
      <c r="P119" s="43"/>
      <c r="Q119" s="43"/>
      <c r="R119" s="43"/>
      <c r="S119" s="43"/>
      <c r="T119" s="43"/>
      <c r="U119" s="42"/>
    </row>
    <row r="120" spans="1:21" ht="21" customHeight="1" x14ac:dyDescent="0.3">
      <c r="A120" s="44" t="str">
        <f t="shared" si="4"/>
        <v>1</v>
      </c>
      <c r="B120" s="41">
        <f t="shared" si="5"/>
        <v>1</v>
      </c>
      <c r="C120" s="41" t="str">
        <f t="shared" si="6"/>
        <v/>
      </c>
      <c r="D120" s="41" t="str">
        <f t="shared" si="7"/>
        <v/>
      </c>
      <c r="E120" s="62"/>
      <c r="F120" s="1" t="s">
        <v>197</v>
      </c>
      <c r="G120" s="1">
        <v>117</v>
      </c>
      <c r="H120" s="4" t="s">
        <v>199</v>
      </c>
      <c r="I120" s="4" t="str">
        <f>IF(ISERROR(VLOOKUP(H120,#REF!,9,0)),"",VLOOKUP(H120,#REF!,9,0))</f>
        <v/>
      </c>
      <c r="J120" s="42"/>
      <c r="K120" s="1" t="s">
        <v>161</v>
      </c>
      <c r="L120" s="1" t="s">
        <v>522</v>
      </c>
      <c r="M120" s="43">
        <v>2022</v>
      </c>
      <c r="N120" s="42"/>
      <c r="O120" s="43" t="s">
        <v>163</v>
      </c>
      <c r="P120" s="43"/>
      <c r="Q120" s="43"/>
      <c r="R120" s="43"/>
      <c r="S120" s="43"/>
      <c r="T120" s="43"/>
      <c r="U120" s="42"/>
    </row>
    <row r="121" spans="1:21" ht="21" customHeight="1" x14ac:dyDescent="0.3">
      <c r="A121" s="44" t="str">
        <f t="shared" si="4"/>
        <v>1</v>
      </c>
      <c r="B121" s="41">
        <f t="shared" si="5"/>
        <v>1</v>
      </c>
      <c r="C121" s="41" t="str">
        <f t="shared" si="6"/>
        <v/>
      </c>
      <c r="D121" s="41" t="str">
        <f t="shared" si="7"/>
        <v/>
      </c>
      <c r="E121" s="62"/>
      <c r="F121" s="1" t="s">
        <v>197</v>
      </c>
      <c r="G121" s="1">
        <v>118</v>
      </c>
      <c r="H121" s="4" t="s">
        <v>200</v>
      </c>
      <c r="I121" s="4" t="str">
        <f>IF(ISERROR(VLOOKUP(H121,#REF!,9,0)),"",VLOOKUP(H121,#REF!,9,0))</f>
        <v/>
      </c>
      <c r="J121" s="42"/>
      <c r="K121" s="1" t="s">
        <v>161</v>
      </c>
      <c r="L121" s="1" t="s">
        <v>522</v>
      </c>
      <c r="M121" s="43">
        <v>2022</v>
      </c>
      <c r="N121" s="42"/>
      <c r="O121" s="43" t="s">
        <v>163</v>
      </c>
      <c r="P121" s="43"/>
      <c r="Q121" s="43"/>
      <c r="R121" s="43"/>
      <c r="S121" s="43"/>
      <c r="T121" s="43"/>
      <c r="U121" s="42"/>
    </row>
    <row r="122" spans="1:21" ht="21" customHeight="1" x14ac:dyDescent="0.3">
      <c r="A122" s="44" t="str">
        <f t="shared" si="4"/>
        <v>1</v>
      </c>
      <c r="B122" s="41">
        <f t="shared" si="5"/>
        <v>1</v>
      </c>
      <c r="C122" s="41" t="str">
        <f t="shared" si="6"/>
        <v/>
      </c>
      <c r="D122" s="41" t="str">
        <f t="shared" si="7"/>
        <v/>
      </c>
      <c r="E122" s="62"/>
      <c r="F122" s="1" t="s">
        <v>197</v>
      </c>
      <c r="G122" s="1">
        <v>119</v>
      </c>
      <c r="H122" s="4" t="s">
        <v>201</v>
      </c>
      <c r="I122" s="4" t="str">
        <f>IF(ISERROR(VLOOKUP(H122,#REF!,9,0)),"",VLOOKUP(H122,#REF!,9,0))</f>
        <v/>
      </c>
      <c r="J122" s="42"/>
      <c r="K122" s="1" t="s">
        <v>161</v>
      </c>
      <c r="L122" s="1" t="s">
        <v>522</v>
      </c>
      <c r="M122" s="43">
        <v>2022</v>
      </c>
      <c r="N122" s="42"/>
      <c r="O122" s="43" t="s">
        <v>163</v>
      </c>
      <c r="P122" s="43"/>
      <c r="Q122" s="43"/>
      <c r="R122" s="43"/>
      <c r="S122" s="43"/>
      <c r="T122" s="43"/>
      <c r="U122" s="42"/>
    </row>
    <row r="123" spans="1:21" ht="21" customHeight="1" x14ac:dyDescent="0.3">
      <c r="A123" s="44" t="str">
        <f t="shared" si="4"/>
        <v>11</v>
      </c>
      <c r="B123" s="41">
        <f t="shared" si="5"/>
        <v>1</v>
      </c>
      <c r="C123" s="41" t="str">
        <f t="shared" si="6"/>
        <v/>
      </c>
      <c r="D123" s="41">
        <f t="shared" si="7"/>
        <v>1</v>
      </c>
      <c r="E123" s="62"/>
      <c r="F123" s="1" t="s">
        <v>202</v>
      </c>
      <c r="G123" s="1">
        <v>120</v>
      </c>
      <c r="H123" s="4" t="s">
        <v>618</v>
      </c>
      <c r="I123" s="4" t="str">
        <f>IF(ISERROR(VLOOKUP(H123,#REF!,9,0)),"",VLOOKUP(H123,#REF!,9,0))</f>
        <v/>
      </c>
      <c r="J123" s="42" t="s">
        <v>618</v>
      </c>
      <c r="K123" s="1" t="s">
        <v>161</v>
      </c>
      <c r="L123" s="1" t="s">
        <v>47</v>
      </c>
      <c r="M123" s="43">
        <v>2022</v>
      </c>
      <c r="N123" s="42"/>
      <c r="O123" s="43" t="s">
        <v>163</v>
      </c>
      <c r="P123" s="43"/>
      <c r="Q123" s="43"/>
      <c r="R123" s="43"/>
      <c r="S123" s="43"/>
      <c r="T123" s="43"/>
      <c r="U123" s="42"/>
    </row>
    <row r="124" spans="1:21" ht="21" customHeight="1" x14ac:dyDescent="0.3">
      <c r="A124" s="44" t="str">
        <f t="shared" si="4"/>
        <v>11</v>
      </c>
      <c r="B124" s="41">
        <f t="shared" si="5"/>
        <v>1</v>
      </c>
      <c r="C124" s="41" t="str">
        <f t="shared" si="6"/>
        <v/>
      </c>
      <c r="D124" s="41">
        <f t="shared" si="7"/>
        <v>1</v>
      </c>
      <c r="E124" s="62"/>
      <c r="F124" s="1" t="s">
        <v>202</v>
      </c>
      <c r="G124" s="1">
        <v>121</v>
      </c>
      <c r="H124" s="4" t="s">
        <v>619</v>
      </c>
      <c r="I124" s="4" t="str">
        <f>IF(ISERROR(VLOOKUP(H124,#REF!,9,0)),"",VLOOKUP(H124,#REF!,9,0))</f>
        <v/>
      </c>
      <c r="J124" s="42" t="s">
        <v>620</v>
      </c>
      <c r="K124" s="1" t="s">
        <v>161</v>
      </c>
      <c r="L124" s="1" t="s">
        <v>47</v>
      </c>
      <c r="M124" s="43">
        <v>2022</v>
      </c>
      <c r="N124" s="42"/>
      <c r="O124" s="43" t="s">
        <v>163</v>
      </c>
      <c r="P124" s="43"/>
      <c r="Q124" s="43"/>
      <c r="R124" s="43"/>
      <c r="S124" s="43"/>
      <c r="T124" s="43"/>
      <c r="U124" s="42"/>
    </row>
    <row r="125" spans="1:21" ht="21" customHeight="1" x14ac:dyDescent="0.3">
      <c r="A125" s="44" t="str">
        <f t="shared" si="4"/>
        <v>11</v>
      </c>
      <c r="B125" s="41">
        <f t="shared" si="5"/>
        <v>1</v>
      </c>
      <c r="C125" s="41" t="str">
        <f t="shared" si="6"/>
        <v/>
      </c>
      <c r="D125" s="41">
        <f t="shared" si="7"/>
        <v>1</v>
      </c>
      <c r="E125" s="62"/>
      <c r="F125" s="1" t="s">
        <v>202</v>
      </c>
      <c r="G125" s="1">
        <v>122</v>
      </c>
      <c r="H125" s="4" t="s">
        <v>621</v>
      </c>
      <c r="I125" s="4" t="str">
        <f>IF(ISERROR(VLOOKUP(H125,#REF!,9,0)),"",VLOOKUP(H125,#REF!,9,0))</f>
        <v/>
      </c>
      <c r="J125" s="42" t="s">
        <v>620</v>
      </c>
      <c r="K125" s="1" t="s">
        <v>161</v>
      </c>
      <c r="L125" s="1" t="s">
        <v>47</v>
      </c>
      <c r="M125" s="43">
        <v>2022</v>
      </c>
      <c r="N125" s="42"/>
      <c r="O125" s="43" t="s">
        <v>163</v>
      </c>
      <c r="P125" s="43"/>
      <c r="Q125" s="43"/>
      <c r="R125" s="43"/>
      <c r="S125" s="43"/>
      <c r="T125" s="43"/>
      <c r="U125" s="42"/>
    </row>
    <row r="126" spans="1:21" ht="21" customHeight="1" x14ac:dyDescent="0.3">
      <c r="A126" s="44" t="str">
        <f t="shared" si="4"/>
        <v>11</v>
      </c>
      <c r="B126" s="41">
        <f t="shared" si="5"/>
        <v>1</v>
      </c>
      <c r="C126" s="41" t="str">
        <f t="shared" si="6"/>
        <v/>
      </c>
      <c r="D126" s="41">
        <f t="shared" si="7"/>
        <v>1</v>
      </c>
      <c r="E126" s="62"/>
      <c r="F126" s="1" t="s">
        <v>202</v>
      </c>
      <c r="G126" s="1">
        <v>123</v>
      </c>
      <c r="H126" s="4" t="s">
        <v>622</v>
      </c>
      <c r="I126" s="4" t="str">
        <f>IF(ISERROR(VLOOKUP(H126,#REF!,9,0)),"",VLOOKUP(H126,#REF!,9,0))</f>
        <v/>
      </c>
      <c r="J126" s="42" t="s">
        <v>623</v>
      </c>
      <c r="K126" s="1" t="s">
        <v>161</v>
      </c>
      <c r="L126" s="1" t="s">
        <v>47</v>
      </c>
      <c r="M126" s="43">
        <v>2022</v>
      </c>
      <c r="N126" s="42"/>
      <c r="O126" s="43" t="s">
        <v>163</v>
      </c>
      <c r="P126" s="43"/>
      <c r="Q126" s="43"/>
      <c r="R126" s="43"/>
      <c r="S126" s="43"/>
      <c r="T126" s="43"/>
      <c r="U126" s="42"/>
    </row>
    <row r="127" spans="1:21" ht="21" customHeight="1" x14ac:dyDescent="0.3">
      <c r="A127" s="44" t="str">
        <f t="shared" si="4"/>
        <v>1</v>
      </c>
      <c r="B127" s="41">
        <f t="shared" si="5"/>
        <v>1</v>
      </c>
      <c r="C127" s="41" t="str">
        <f t="shared" si="6"/>
        <v/>
      </c>
      <c r="D127" s="41" t="str">
        <f t="shared" si="7"/>
        <v/>
      </c>
      <c r="E127" s="62"/>
      <c r="F127" s="1" t="s">
        <v>202</v>
      </c>
      <c r="G127" s="1">
        <v>124</v>
      </c>
      <c r="H127" s="4" t="s">
        <v>203</v>
      </c>
      <c r="I127" s="4" t="str">
        <f>IF(ISERROR(VLOOKUP(H127,#REF!,9,0)),"",VLOOKUP(H127,#REF!,9,0))</f>
        <v/>
      </c>
      <c r="J127" s="42"/>
      <c r="K127" s="1" t="s">
        <v>161</v>
      </c>
      <c r="L127" s="1" t="s">
        <v>522</v>
      </c>
      <c r="M127" s="43">
        <v>2022</v>
      </c>
      <c r="N127" s="42"/>
      <c r="O127" s="43" t="s">
        <v>163</v>
      </c>
      <c r="P127" s="43"/>
      <c r="Q127" s="43"/>
      <c r="R127" s="43"/>
      <c r="S127" s="43"/>
      <c r="T127" s="43"/>
      <c r="U127" s="42"/>
    </row>
    <row r="128" spans="1:21" ht="21" customHeight="1" x14ac:dyDescent="0.3">
      <c r="A128" s="44" t="str">
        <f t="shared" si="4"/>
        <v>11</v>
      </c>
      <c r="B128" s="41">
        <f t="shared" si="5"/>
        <v>1</v>
      </c>
      <c r="C128" s="41" t="str">
        <f t="shared" si="6"/>
        <v/>
      </c>
      <c r="D128" s="41">
        <f t="shared" si="7"/>
        <v>1</v>
      </c>
      <c r="E128" s="62"/>
      <c r="F128" s="1" t="s">
        <v>202</v>
      </c>
      <c r="G128" s="1">
        <v>125</v>
      </c>
      <c r="H128" s="4" t="s">
        <v>624</v>
      </c>
      <c r="I128" s="4" t="str">
        <f>IF(ISERROR(VLOOKUP(H128,#REF!,9,0)),"",VLOOKUP(H128,#REF!,9,0))</f>
        <v/>
      </c>
      <c r="J128" s="42" t="s">
        <v>625</v>
      </c>
      <c r="K128" s="1" t="s">
        <v>161</v>
      </c>
      <c r="L128" s="1" t="s">
        <v>47</v>
      </c>
      <c r="M128" s="43">
        <v>2022</v>
      </c>
      <c r="N128" s="42"/>
      <c r="O128" s="43" t="s">
        <v>163</v>
      </c>
      <c r="P128" s="43"/>
      <c r="Q128" s="43"/>
      <c r="R128" s="43"/>
      <c r="S128" s="43"/>
      <c r="T128" s="43"/>
      <c r="U128" s="42"/>
    </row>
    <row r="129" spans="1:21" ht="21" customHeight="1" x14ac:dyDescent="0.3">
      <c r="A129" s="44" t="str">
        <f t="shared" si="4"/>
        <v>11</v>
      </c>
      <c r="B129" s="41">
        <f t="shared" si="5"/>
        <v>1</v>
      </c>
      <c r="C129" s="41" t="str">
        <f t="shared" si="6"/>
        <v/>
      </c>
      <c r="D129" s="41">
        <f t="shared" si="7"/>
        <v>1</v>
      </c>
      <c r="E129" s="62"/>
      <c r="F129" s="1" t="s">
        <v>202</v>
      </c>
      <c r="G129" s="1">
        <v>126</v>
      </c>
      <c r="H129" s="4" t="s">
        <v>626</v>
      </c>
      <c r="I129" s="4" t="str">
        <f>IF(ISERROR(VLOOKUP(H129,#REF!,9,0)),"",VLOOKUP(H129,#REF!,9,0))</f>
        <v/>
      </c>
      <c r="J129" s="42" t="s">
        <v>627</v>
      </c>
      <c r="K129" s="1" t="s">
        <v>161</v>
      </c>
      <c r="L129" s="1" t="s">
        <v>47</v>
      </c>
      <c r="M129" s="43">
        <v>2022</v>
      </c>
      <c r="N129" s="42"/>
      <c r="O129" s="43" t="s">
        <v>163</v>
      </c>
      <c r="P129" s="43"/>
      <c r="Q129" s="43"/>
      <c r="R129" s="43"/>
      <c r="S129" s="43"/>
      <c r="T129" s="43"/>
      <c r="U129" s="42"/>
    </row>
    <row r="130" spans="1:21" ht="21" customHeight="1" x14ac:dyDescent="0.3">
      <c r="A130" s="44" t="str">
        <f t="shared" si="4"/>
        <v>1</v>
      </c>
      <c r="B130" s="41">
        <f t="shared" si="5"/>
        <v>1</v>
      </c>
      <c r="C130" s="41" t="str">
        <f t="shared" si="6"/>
        <v/>
      </c>
      <c r="D130" s="41" t="str">
        <f t="shared" si="7"/>
        <v/>
      </c>
      <c r="E130" s="62"/>
      <c r="F130" s="1" t="s">
        <v>202</v>
      </c>
      <c r="G130" s="1">
        <v>127</v>
      </c>
      <c r="H130" s="4" t="s">
        <v>205</v>
      </c>
      <c r="I130" s="4" t="str">
        <f>IF(ISERROR(VLOOKUP(H130,#REF!,9,0)),"",VLOOKUP(H130,#REF!,9,0))</f>
        <v/>
      </c>
      <c r="J130" s="42"/>
      <c r="K130" s="1" t="s">
        <v>161</v>
      </c>
      <c r="L130" s="1" t="s">
        <v>522</v>
      </c>
      <c r="M130" s="43">
        <v>2022</v>
      </c>
      <c r="N130" s="42"/>
      <c r="O130" s="43" t="s">
        <v>163</v>
      </c>
      <c r="P130" s="43"/>
      <c r="Q130" s="43"/>
      <c r="R130" s="43"/>
      <c r="S130" s="43"/>
      <c r="T130" s="43"/>
      <c r="U130" s="42"/>
    </row>
    <row r="131" spans="1:21" ht="21" customHeight="1" x14ac:dyDescent="0.3">
      <c r="A131" s="44" t="str">
        <f t="shared" si="4"/>
        <v>1</v>
      </c>
      <c r="B131" s="41" t="str">
        <f t="shared" si="5"/>
        <v/>
      </c>
      <c r="C131" s="41" t="str">
        <f t="shared" si="6"/>
        <v/>
      </c>
      <c r="D131" s="41">
        <f t="shared" si="7"/>
        <v>1</v>
      </c>
      <c r="E131" s="62"/>
      <c r="F131" s="1" t="s">
        <v>202</v>
      </c>
      <c r="G131" s="1">
        <v>128</v>
      </c>
      <c r="H131" s="4"/>
      <c r="I131" s="4" t="str">
        <f>IF(ISERROR(VLOOKUP(H131,#REF!,9,0)),"",VLOOKUP(H131,#REF!,9,0))</f>
        <v/>
      </c>
      <c r="J131" s="42" t="s">
        <v>628</v>
      </c>
      <c r="K131" s="1" t="s">
        <v>161</v>
      </c>
      <c r="L131" s="1" t="s">
        <v>47</v>
      </c>
      <c r="M131" s="43">
        <v>2022</v>
      </c>
      <c r="N131" s="42" t="s">
        <v>629</v>
      </c>
      <c r="O131" s="43" t="s">
        <v>163</v>
      </c>
      <c r="P131" s="43"/>
      <c r="Q131" s="43"/>
      <c r="R131" s="43"/>
      <c r="S131" s="43"/>
      <c r="T131" s="43"/>
      <c r="U131" s="42"/>
    </row>
    <row r="132" spans="1:21" ht="21" customHeight="1" x14ac:dyDescent="0.3">
      <c r="A132" s="44" t="str">
        <f t="shared" ref="A132:A195" si="8">B132&amp;D132</f>
        <v>1</v>
      </c>
      <c r="B132" s="41">
        <f t="shared" ref="B132:B195" si="9">IF(H132="","",1)</f>
        <v>1</v>
      </c>
      <c r="C132" s="41" t="str">
        <f t="shared" ref="C132:C195" si="10">IF(I132="","",1)</f>
        <v/>
      </c>
      <c r="D132" s="41" t="str">
        <f t="shared" ref="D132:D195" si="11">IF(J132="","",1)</f>
        <v/>
      </c>
      <c r="E132" s="62"/>
      <c r="F132" s="1" t="s">
        <v>206</v>
      </c>
      <c r="G132" s="1">
        <v>129</v>
      </c>
      <c r="H132" s="4" t="s">
        <v>207</v>
      </c>
      <c r="I132" s="4" t="str">
        <f>IF(ISERROR(VLOOKUP(H132,#REF!,9,0)),"",VLOOKUP(H132,#REF!,9,0))</f>
        <v/>
      </c>
      <c r="J132" s="42"/>
      <c r="K132" s="1" t="s">
        <v>161</v>
      </c>
      <c r="L132" s="1" t="s">
        <v>522</v>
      </c>
      <c r="M132" s="43">
        <v>2022</v>
      </c>
      <c r="N132" s="42"/>
      <c r="O132" s="43" t="s">
        <v>79</v>
      </c>
      <c r="P132" s="43"/>
      <c r="Q132" s="43"/>
      <c r="R132" s="43"/>
      <c r="S132" s="43"/>
      <c r="T132" s="43"/>
      <c r="U132" s="42"/>
    </row>
    <row r="133" spans="1:21" ht="21" customHeight="1" x14ac:dyDescent="0.3">
      <c r="A133" s="44" t="str">
        <f t="shared" si="8"/>
        <v>11</v>
      </c>
      <c r="B133" s="41">
        <f t="shared" si="9"/>
        <v>1</v>
      </c>
      <c r="C133" s="41" t="str">
        <f t="shared" si="10"/>
        <v/>
      </c>
      <c r="D133" s="41">
        <f t="shared" si="11"/>
        <v>1</v>
      </c>
      <c r="E133" s="62"/>
      <c r="F133" s="1" t="s">
        <v>206</v>
      </c>
      <c r="G133" s="1">
        <v>130</v>
      </c>
      <c r="H133" s="4" t="s">
        <v>630</v>
      </c>
      <c r="I133" s="4" t="str">
        <f>IF(ISERROR(VLOOKUP(H133,#REF!,9,0)),"",VLOOKUP(H133,#REF!,9,0))</f>
        <v/>
      </c>
      <c r="J133" s="42" t="s">
        <v>630</v>
      </c>
      <c r="K133" s="1" t="s">
        <v>161</v>
      </c>
      <c r="L133" s="1" t="s">
        <v>47</v>
      </c>
      <c r="M133" s="43">
        <v>2022</v>
      </c>
      <c r="N133" s="42"/>
      <c r="O133" s="43" t="s">
        <v>79</v>
      </c>
      <c r="P133" s="43"/>
      <c r="Q133" s="43"/>
      <c r="R133" s="43"/>
      <c r="S133" s="43"/>
      <c r="T133" s="43"/>
      <c r="U133" s="42"/>
    </row>
    <row r="134" spans="1:21" ht="21" customHeight="1" x14ac:dyDescent="0.3">
      <c r="A134" s="44" t="str">
        <f t="shared" si="8"/>
        <v>1</v>
      </c>
      <c r="B134" s="41">
        <f t="shared" si="9"/>
        <v>1</v>
      </c>
      <c r="C134" s="41" t="str">
        <f t="shared" si="10"/>
        <v/>
      </c>
      <c r="D134" s="41" t="str">
        <f t="shared" si="11"/>
        <v/>
      </c>
      <c r="E134" s="62"/>
      <c r="F134" s="1" t="s">
        <v>197</v>
      </c>
      <c r="G134" s="1">
        <v>131</v>
      </c>
      <c r="H134" s="4" t="s">
        <v>208</v>
      </c>
      <c r="I134" s="4" t="str">
        <f>IF(ISERROR(VLOOKUP(H134,#REF!,9,0)),"",VLOOKUP(H134,#REF!,9,0))</f>
        <v/>
      </c>
      <c r="J134" s="42"/>
      <c r="K134" s="1" t="s">
        <v>161</v>
      </c>
      <c r="L134" s="1" t="s">
        <v>522</v>
      </c>
      <c r="M134" s="43">
        <v>2022</v>
      </c>
      <c r="N134" s="42"/>
      <c r="O134" s="43" t="s">
        <v>163</v>
      </c>
      <c r="P134" s="43"/>
      <c r="Q134" s="43"/>
      <c r="R134" s="43"/>
      <c r="S134" s="43"/>
      <c r="T134" s="43"/>
      <c r="U134" s="42"/>
    </row>
    <row r="135" spans="1:21" ht="21" customHeight="1" x14ac:dyDescent="0.3">
      <c r="A135" s="44" t="str">
        <f t="shared" si="8"/>
        <v>11</v>
      </c>
      <c r="B135" s="41">
        <f t="shared" si="9"/>
        <v>1</v>
      </c>
      <c r="C135" s="41" t="str">
        <f t="shared" si="10"/>
        <v/>
      </c>
      <c r="D135" s="41">
        <f t="shared" si="11"/>
        <v>1</v>
      </c>
      <c r="E135" s="62"/>
      <c r="F135" s="1" t="s">
        <v>631</v>
      </c>
      <c r="G135" s="1">
        <v>132</v>
      </c>
      <c r="H135" s="4" t="s">
        <v>632</v>
      </c>
      <c r="I135" s="4" t="str">
        <f>IF(ISERROR(VLOOKUP(H135,#REF!,9,0)),"",VLOOKUP(H135,#REF!,9,0))</f>
        <v/>
      </c>
      <c r="J135" s="42" t="s">
        <v>632</v>
      </c>
      <c r="K135" s="1" t="s">
        <v>161</v>
      </c>
      <c r="L135" s="1" t="s">
        <v>47</v>
      </c>
      <c r="M135" s="43">
        <v>2022</v>
      </c>
      <c r="N135" s="42" t="s">
        <v>633</v>
      </c>
      <c r="O135" s="43" t="s">
        <v>79</v>
      </c>
      <c r="P135" s="43"/>
      <c r="Q135" s="43"/>
      <c r="R135" s="43"/>
      <c r="S135" s="43"/>
      <c r="T135" s="43"/>
      <c r="U135" s="42"/>
    </row>
    <row r="136" spans="1:21" ht="21" customHeight="1" x14ac:dyDescent="0.3">
      <c r="A136" s="44" t="str">
        <f t="shared" si="8"/>
        <v>11</v>
      </c>
      <c r="B136" s="41">
        <f t="shared" si="9"/>
        <v>1</v>
      </c>
      <c r="C136" s="41" t="str">
        <f t="shared" si="10"/>
        <v/>
      </c>
      <c r="D136" s="41">
        <f t="shared" si="11"/>
        <v>1</v>
      </c>
      <c r="E136" s="62"/>
      <c r="F136" s="1" t="s">
        <v>631</v>
      </c>
      <c r="G136" s="1">
        <v>133</v>
      </c>
      <c r="H136" s="4" t="s">
        <v>634</v>
      </c>
      <c r="I136" s="4" t="str">
        <f>IF(ISERROR(VLOOKUP(H136,#REF!,9,0)),"",VLOOKUP(H136,#REF!,9,0))</f>
        <v/>
      </c>
      <c r="J136" s="42" t="s">
        <v>634</v>
      </c>
      <c r="K136" s="1" t="s">
        <v>161</v>
      </c>
      <c r="L136" s="1" t="s">
        <v>47</v>
      </c>
      <c r="M136" s="43">
        <v>2022</v>
      </c>
      <c r="N136" s="42" t="s">
        <v>635</v>
      </c>
      <c r="O136" s="43" t="s">
        <v>79</v>
      </c>
      <c r="P136" s="43"/>
      <c r="Q136" s="43"/>
      <c r="R136" s="43"/>
      <c r="S136" s="43"/>
      <c r="T136" s="43"/>
      <c r="U136" s="42"/>
    </row>
    <row r="137" spans="1:21" ht="21" customHeight="1" x14ac:dyDescent="0.3">
      <c r="A137" s="44" t="str">
        <f t="shared" si="8"/>
        <v>11</v>
      </c>
      <c r="B137" s="41">
        <f t="shared" si="9"/>
        <v>1</v>
      </c>
      <c r="C137" s="41" t="str">
        <f t="shared" si="10"/>
        <v/>
      </c>
      <c r="D137" s="41">
        <f t="shared" si="11"/>
        <v>1</v>
      </c>
      <c r="E137" s="62"/>
      <c r="F137" s="1" t="s">
        <v>631</v>
      </c>
      <c r="G137" s="1">
        <v>134</v>
      </c>
      <c r="H137" s="4" t="s">
        <v>636</v>
      </c>
      <c r="I137" s="4" t="str">
        <f>IF(ISERROR(VLOOKUP(H137,#REF!,9,0)),"",VLOOKUP(H137,#REF!,9,0))</f>
        <v/>
      </c>
      <c r="J137" s="42" t="s">
        <v>636</v>
      </c>
      <c r="K137" s="1" t="s">
        <v>161</v>
      </c>
      <c r="L137" s="1" t="s">
        <v>47</v>
      </c>
      <c r="M137" s="43">
        <v>2022</v>
      </c>
      <c r="N137" s="42"/>
      <c r="O137" s="43" t="s">
        <v>79</v>
      </c>
      <c r="P137" s="43"/>
      <c r="Q137" s="43"/>
      <c r="R137" s="43"/>
      <c r="S137" s="43"/>
      <c r="T137" s="43"/>
      <c r="U137" s="42"/>
    </row>
    <row r="138" spans="1:21" ht="21" customHeight="1" x14ac:dyDescent="0.3">
      <c r="A138" s="44" t="str">
        <f t="shared" si="8"/>
        <v>1</v>
      </c>
      <c r="B138" s="41" t="str">
        <f t="shared" si="9"/>
        <v/>
      </c>
      <c r="C138" s="41" t="str">
        <f t="shared" si="10"/>
        <v/>
      </c>
      <c r="D138" s="41">
        <f t="shared" si="11"/>
        <v>1</v>
      </c>
      <c r="E138" s="62"/>
      <c r="F138" s="1" t="s">
        <v>631</v>
      </c>
      <c r="G138" s="1">
        <v>135</v>
      </c>
      <c r="H138" s="4"/>
      <c r="I138" s="4" t="str">
        <f>IF(ISERROR(VLOOKUP(H138,#REF!,9,0)),"",VLOOKUP(H138,#REF!,9,0))</f>
        <v/>
      </c>
      <c r="J138" s="42" t="s">
        <v>637</v>
      </c>
      <c r="K138" s="1" t="s">
        <v>161</v>
      </c>
      <c r="L138" s="1" t="s">
        <v>47</v>
      </c>
      <c r="M138" s="43">
        <v>2022</v>
      </c>
      <c r="N138" s="42"/>
      <c r="O138" s="43" t="s">
        <v>79</v>
      </c>
      <c r="P138" s="43"/>
      <c r="Q138" s="43"/>
      <c r="R138" s="43"/>
      <c r="S138" s="43"/>
      <c r="T138" s="43"/>
      <c r="U138" s="42"/>
    </row>
    <row r="139" spans="1:21" ht="21" customHeight="1" x14ac:dyDescent="0.3">
      <c r="A139" s="44" t="str">
        <f t="shared" si="8"/>
        <v>11</v>
      </c>
      <c r="B139" s="41">
        <f t="shared" si="9"/>
        <v>1</v>
      </c>
      <c r="C139" s="41" t="str">
        <f t="shared" si="10"/>
        <v/>
      </c>
      <c r="D139" s="41">
        <f t="shared" si="11"/>
        <v>1</v>
      </c>
      <c r="E139" s="62"/>
      <c r="F139" s="1" t="s">
        <v>638</v>
      </c>
      <c r="G139" s="1">
        <v>136</v>
      </c>
      <c r="H139" s="4" t="s">
        <v>639</v>
      </c>
      <c r="I139" s="4" t="str">
        <f>IF(ISERROR(VLOOKUP(H139,#REF!,9,0)),"",VLOOKUP(H139,#REF!,9,0))</f>
        <v/>
      </c>
      <c r="J139" s="42" t="s">
        <v>640</v>
      </c>
      <c r="K139" s="1" t="s">
        <v>161</v>
      </c>
      <c r="L139" s="1" t="s">
        <v>47</v>
      </c>
      <c r="M139" s="43">
        <v>2022</v>
      </c>
      <c r="N139" s="42" t="s">
        <v>641</v>
      </c>
      <c r="O139" s="43" t="s">
        <v>79</v>
      </c>
      <c r="P139" s="43"/>
      <c r="Q139" s="43"/>
      <c r="R139" s="43"/>
      <c r="S139" s="43"/>
      <c r="T139" s="43"/>
      <c r="U139" s="42"/>
    </row>
    <row r="140" spans="1:21" ht="21" customHeight="1" x14ac:dyDescent="0.3">
      <c r="A140" s="44" t="str">
        <f t="shared" si="8"/>
        <v>11</v>
      </c>
      <c r="B140" s="41">
        <f t="shared" si="9"/>
        <v>1</v>
      </c>
      <c r="C140" s="41" t="str">
        <f t="shared" si="10"/>
        <v/>
      </c>
      <c r="D140" s="41">
        <f t="shared" si="11"/>
        <v>1</v>
      </c>
      <c r="E140" s="62"/>
      <c r="F140" s="1" t="s">
        <v>638</v>
      </c>
      <c r="G140" s="1">
        <v>137</v>
      </c>
      <c r="H140" s="4" t="s">
        <v>642</v>
      </c>
      <c r="I140" s="4" t="str">
        <f>IF(ISERROR(VLOOKUP(H140,#REF!,9,0)),"",VLOOKUP(H140,#REF!,9,0))</f>
        <v/>
      </c>
      <c r="J140" s="42" t="s">
        <v>643</v>
      </c>
      <c r="K140" s="1" t="s">
        <v>161</v>
      </c>
      <c r="L140" s="1" t="s">
        <v>47</v>
      </c>
      <c r="M140" s="43">
        <v>2022</v>
      </c>
      <c r="N140" s="42" t="s">
        <v>644</v>
      </c>
      <c r="O140" s="43" t="s">
        <v>79</v>
      </c>
      <c r="P140" s="43"/>
      <c r="Q140" s="43"/>
      <c r="R140" s="43"/>
      <c r="S140" s="43"/>
      <c r="T140" s="43"/>
      <c r="U140" s="42"/>
    </row>
    <row r="141" spans="1:21" ht="21" customHeight="1" x14ac:dyDescent="0.3">
      <c r="A141" s="44" t="str">
        <f t="shared" si="8"/>
        <v>11</v>
      </c>
      <c r="B141" s="41">
        <f t="shared" si="9"/>
        <v>1</v>
      </c>
      <c r="C141" s="41" t="str">
        <f t="shared" si="10"/>
        <v/>
      </c>
      <c r="D141" s="41">
        <f t="shared" si="11"/>
        <v>1</v>
      </c>
      <c r="E141" s="62"/>
      <c r="F141" s="1"/>
      <c r="G141" s="1">
        <v>138</v>
      </c>
      <c r="H141" s="4" t="s">
        <v>645</v>
      </c>
      <c r="I141" s="4" t="str">
        <f>IF(ISERROR(VLOOKUP(H141,#REF!,9,0)),"",VLOOKUP(H141,#REF!,9,0))</f>
        <v/>
      </c>
      <c r="J141" s="42" t="s">
        <v>646</v>
      </c>
      <c r="K141" s="1" t="s">
        <v>161</v>
      </c>
      <c r="L141" s="1" t="s">
        <v>47</v>
      </c>
      <c r="M141" s="43">
        <v>2022</v>
      </c>
      <c r="N141" s="42"/>
      <c r="O141" s="43" t="s">
        <v>79</v>
      </c>
      <c r="P141" s="43"/>
      <c r="Q141" s="43"/>
      <c r="R141" s="43"/>
      <c r="S141" s="43"/>
      <c r="T141" s="43"/>
      <c r="U141" s="42"/>
    </row>
    <row r="142" spans="1:21" ht="21" customHeight="1" x14ac:dyDescent="0.3">
      <c r="A142" s="44" t="str">
        <f t="shared" si="8"/>
        <v>1</v>
      </c>
      <c r="B142" s="41" t="str">
        <f t="shared" si="9"/>
        <v/>
      </c>
      <c r="C142" s="41" t="str">
        <f t="shared" si="10"/>
        <v/>
      </c>
      <c r="D142" s="41">
        <f t="shared" si="11"/>
        <v>1</v>
      </c>
      <c r="E142" s="62"/>
      <c r="F142" s="1"/>
      <c r="G142" s="1">
        <v>139</v>
      </c>
      <c r="H142" s="4"/>
      <c r="I142" s="4" t="str">
        <f>IF(ISERROR(VLOOKUP(H142,#REF!,9,0)),"",VLOOKUP(H142,#REF!,9,0))</f>
        <v/>
      </c>
      <c r="J142" s="42" t="s">
        <v>647</v>
      </c>
      <c r="K142" s="1" t="s">
        <v>161</v>
      </c>
      <c r="L142" s="1" t="s">
        <v>47</v>
      </c>
      <c r="M142" s="43">
        <v>2022</v>
      </c>
      <c r="N142" s="42" t="s">
        <v>648</v>
      </c>
      <c r="O142" s="43" t="s">
        <v>163</v>
      </c>
      <c r="P142" s="43"/>
      <c r="Q142" s="43"/>
      <c r="R142" s="43"/>
      <c r="S142" s="43"/>
      <c r="T142" s="43"/>
      <c r="U142" s="42"/>
    </row>
    <row r="143" spans="1:21" ht="21" customHeight="1" x14ac:dyDescent="0.3">
      <c r="A143" s="44" t="str">
        <f t="shared" si="8"/>
        <v>1</v>
      </c>
      <c r="B143" s="41" t="str">
        <f t="shared" si="9"/>
        <v/>
      </c>
      <c r="C143" s="41" t="str">
        <f t="shared" si="10"/>
        <v/>
      </c>
      <c r="D143" s="41">
        <f t="shared" si="11"/>
        <v>1</v>
      </c>
      <c r="E143" s="62"/>
      <c r="F143" s="1"/>
      <c r="G143" s="1">
        <v>140</v>
      </c>
      <c r="H143" s="4"/>
      <c r="I143" s="4" t="str">
        <f>IF(ISERROR(VLOOKUP(H143,#REF!,9,0)),"",VLOOKUP(H143,#REF!,9,0))</f>
        <v/>
      </c>
      <c r="J143" s="42" t="s">
        <v>649</v>
      </c>
      <c r="K143" s="1" t="s">
        <v>161</v>
      </c>
      <c r="L143" s="1" t="s">
        <v>47</v>
      </c>
      <c r="M143" s="43">
        <v>2022</v>
      </c>
      <c r="N143" s="42" t="s">
        <v>650</v>
      </c>
      <c r="O143" s="43" t="s">
        <v>163</v>
      </c>
      <c r="P143" s="43"/>
      <c r="Q143" s="43"/>
      <c r="R143" s="43"/>
      <c r="S143" s="43"/>
      <c r="T143" s="43"/>
      <c r="U143" s="42"/>
    </row>
    <row r="144" spans="1:21" ht="21" customHeight="1" x14ac:dyDescent="0.3">
      <c r="A144" s="44" t="str">
        <f t="shared" si="8"/>
        <v>1</v>
      </c>
      <c r="B144" s="41">
        <f t="shared" si="9"/>
        <v>1</v>
      </c>
      <c r="C144" s="41" t="str">
        <f t="shared" si="10"/>
        <v/>
      </c>
      <c r="D144" s="41" t="str">
        <f t="shared" si="11"/>
        <v/>
      </c>
      <c r="E144" s="62"/>
      <c r="F144" s="1" t="s">
        <v>192</v>
      </c>
      <c r="G144" s="1">
        <v>141</v>
      </c>
      <c r="H144" s="4" t="s">
        <v>209</v>
      </c>
      <c r="I144" s="4" t="str">
        <f>IF(ISERROR(VLOOKUP(H144,#REF!,9,0)),"",VLOOKUP(H144,#REF!,9,0))</f>
        <v/>
      </c>
      <c r="J144" s="42"/>
      <c r="K144" s="1" t="s">
        <v>161</v>
      </c>
      <c r="L144" s="1" t="s">
        <v>522</v>
      </c>
      <c r="M144" s="43">
        <v>2022</v>
      </c>
      <c r="N144" s="42"/>
      <c r="O144" s="43" t="s">
        <v>163</v>
      </c>
      <c r="P144" s="43"/>
      <c r="Q144" s="43"/>
      <c r="R144" s="43"/>
      <c r="S144" s="43"/>
      <c r="T144" s="43"/>
      <c r="U144" s="42"/>
    </row>
    <row r="145" spans="1:21" ht="21" customHeight="1" x14ac:dyDescent="0.3">
      <c r="A145" s="44" t="str">
        <f t="shared" si="8"/>
        <v>1</v>
      </c>
      <c r="B145" s="41">
        <f t="shared" si="9"/>
        <v>1</v>
      </c>
      <c r="C145" s="41" t="str">
        <f t="shared" si="10"/>
        <v/>
      </c>
      <c r="D145" s="41" t="str">
        <f t="shared" si="11"/>
        <v/>
      </c>
      <c r="E145" s="62"/>
      <c r="F145" s="1" t="s">
        <v>192</v>
      </c>
      <c r="G145" s="1">
        <v>142</v>
      </c>
      <c r="H145" s="4" t="s">
        <v>211</v>
      </c>
      <c r="I145" s="4" t="str">
        <f>IF(ISERROR(VLOOKUP(H145,#REF!,9,0)),"",VLOOKUP(H145,#REF!,9,0))</f>
        <v/>
      </c>
      <c r="J145" s="42"/>
      <c r="K145" s="1" t="s">
        <v>161</v>
      </c>
      <c r="L145" s="1" t="s">
        <v>522</v>
      </c>
      <c r="M145" s="43">
        <v>2022</v>
      </c>
      <c r="N145" s="42"/>
      <c r="O145" s="43" t="s">
        <v>163</v>
      </c>
      <c r="P145" s="43"/>
      <c r="Q145" s="43"/>
      <c r="R145" s="43"/>
      <c r="S145" s="43"/>
      <c r="T145" s="43"/>
      <c r="U145" s="42"/>
    </row>
    <row r="146" spans="1:21" ht="21" customHeight="1" x14ac:dyDescent="0.3">
      <c r="A146" s="44" t="str">
        <f t="shared" si="8"/>
        <v>1</v>
      </c>
      <c r="B146" s="41" t="str">
        <f t="shared" si="9"/>
        <v/>
      </c>
      <c r="C146" s="41" t="str">
        <f t="shared" si="10"/>
        <v/>
      </c>
      <c r="D146" s="41">
        <f t="shared" si="11"/>
        <v>1</v>
      </c>
      <c r="E146" s="62"/>
      <c r="F146" s="1" t="s">
        <v>192</v>
      </c>
      <c r="G146" s="1">
        <v>143</v>
      </c>
      <c r="H146" s="4"/>
      <c r="I146" s="4" t="str">
        <f>IF(ISERROR(VLOOKUP(H146,#REF!,9,0)),"",VLOOKUP(H146,#REF!,9,0))</f>
        <v/>
      </c>
      <c r="J146" s="42" t="s">
        <v>651</v>
      </c>
      <c r="K146" s="1" t="s">
        <v>161</v>
      </c>
      <c r="L146" s="1" t="s">
        <v>47</v>
      </c>
      <c r="M146" s="43">
        <v>2022</v>
      </c>
      <c r="N146" s="42"/>
      <c r="O146" s="43" t="s">
        <v>163</v>
      </c>
      <c r="P146" s="43"/>
      <c r="Q146" s="43"/>
      <c r="R146" s="43"/>
      <c r="S146" s="43"/>
      <c r="T146" s="43"/>
      <c r="U146" s="42"/>
    </row>
    <row r="147" spans="1:21" ht="21" customHeight="1" x14ac:dyDescent="0.3">
      <c r="A147" s="44" t="str">
        <f t="shared" si="8"/>
        <v>1</v>
      </c>
      <c r="B147" s="41" t="str">
        <f t="shared" si="9"/>
        <v/>
      </c>
      <c r="C147" s="41" t="str">
        <f t="shared" si="10"/>
        <v/>
      </c>
      <c r="D147" s="41">
        <f t="shared" si="11"/>
        <v>1</v>
      </c>
      <c r="E147" s="62"/>
      <c r="F147" s="1" t="s">
        <v>192</v>
      </c>
      <c r="G147" s="1">
        <v>144</v>
      </c>
      <c r="H147" s="4"/>
      <c r="I147" s="4" t="str">
        <f>IF(ISERROR(VLOOKUP(H147,#REF!,9,0)),"",VLOOKUP(H147,#REF!,9,0))</f>
        <v/>
      </c>
      <c r="J147" s="42" t="s">
        <v>652</v>
      </c>
      <c r="K147" s="1" t="s">
        <v>161</v>
      </c>
      <c r="L147" s="1" t="s">
        <v>47</v>
      </c>
      <c r="M147" s="43">
        <v>2022</v>
      </c>
      <c r="N147" s="42"/>
      <c r="O147" s="43" t="s">
        <v>163</v>
      </c>
      <c r="P147" s="43"/>
      <c r="Q147" s="43"/>
      <c r="R147" s="43"/>
      <c r="S147" s="43"/>
      <c r="T147" s="43"/>
      <c r="U147" s="42"/>
    </row>
    <row r="148" spans="1:21" ht="21" customHeight="1" x14ac:dyDescent="0.3">
      <c r="A148" s="44" t="str">
        <f t="shared" si="8"/>
        <v>1</v>
      </c>
      <c r="B148" s="41" t="str">
        <f t="shared" si="9"/>
        <v/>
      </c>
      <c r="C148" s="41" t="str">
        <f t="shared" si="10"/>
        <v/>
      </c>
      <c r="D148" s="41">
        <f t="shared" si="11"/>
        <v>1</v>
      </c>
      <c r="E148" s="62"/>
      <c r="F148" s="1" t="s">
        <v>192</v>
      </c>
      <c r="G148" s="1">
        <v>145</v>
      </c>
      <c r="H148" s="4"/>
      <c r="I148" s="4" t="str">
        <f>IF(ISERROR(VLOOKUP(H148,#REF!,9,0)),"",VLOOKUP(H148,#REF!,9,0))</f>
        <v/>
      </c>
      <c r="J148" s="42" t="s">
        <v>653</v>
      </c>
      <c r="K148" s="1" t="s">
        <v>161</v>
      </c>
      <c r="L148" s="1" t="s">
        <v>47</v>
      </c>
      <c r="M148" s="43">
        <v>2022</v>
      </c>
      <c r="N148" s="42"/>
      <c r="O148" s="43" t="s">
        <v>163</v>
      </c>
      <c r="P148" s="43"/>
      <c r="Q148" s="43"/>
      <c r="R148" s="43"/>
      <c r="S148" s="43"/>
      <c r="T148" s="43"/>
      <c r="U148" s="42"/>
    </row>
    <row r="149" spans="1:21" ht="21" customHeight="1" x14ac:dyDescent="0.3">
      <c r="A149" s="44" t="str">
        <f t="shared" si="8"/>
        <v>11</v>
      </c>
      <c r="B149" s="41">
        <f t="shared" si="9"/>
        <v>1</v>
      </c>
      <c r="C149" s="41" t="str">
        <f t="shared" si="10"/>
        <v/>
      </c>
      <c r="D149" s="41">
        <f t="shared" si="11"/>
        <v>1</v>
      </c>
      <c r="E149" s="62"/>
      <c r="F149" s="1" t="s">
        <v>192</v>
      </c>
      <c r="G149" s="1">
        <v>146</v>
      </c>
      <c r="H149" s="4" t="s">
        <v>654</v>
      </c>
      <c r="I149" s="4" t="str">
        <f>IF(ISERROR(VLOOKUP(H149,#REF!,9,0)),"",VLOOKUP(H149,#REF!,9,0))</f>
        <v/>
      </c>
      <c r="J149" s="42" t="s">
        <v>654</v>
      </c>
      <c r="K149" s="1" t="s">
        <v>161</v>
      </c>
      <c r="L149" s="1" t="s">
        <v>47</v>
      </c>
      <c r="M149" s="43">
        <v>2022</v>
      </c>
      <c r="N149" s="42" t="s">
        <v>654</v>
      </c>
      <c r="O149" s="43" t="s">
        <v>163</v>
      </c>
      <c r="P149" s="43"/>
      <c r="Q149" s="43"/>
      <c r="R149" s="43"/>
      <c r="S149" s="43"/>
      <c r="T149" s="43"/>
      <c r="U149" s="42"/>
    </row>
    <row r="150" spans="1:21" ht="21" customHeight="1" x14ac:dyDescent="0.3">
      <c r="A150" s="44" t="str">
        <f t="shared" si="8"/>
        <v>11</v>
      </c>
      <c r="B150" s="41">
        <f t="shared" si="9"/>
        <v>1</v>
      </c>
      <c r="C150" s="41" t="str">
        <f t="shared" si="10"/>
        <v/>
      </c>
      <c r="D150" s="41">
        <f t="shared" si="11"/>
        <v>1</v>
      </c>
      <c r="E150" s="62"/>
      <c r="F150" s="1" t="s">
        <v>192</v>
      </c>
      <c r="G150" s="1">
        <v>147</v>
      </c>
      <c r="H150" s="4" t="s">
        <v>655</v>
      </c>
      <c r="I150" s="4" t="str">
        <f>IF(ISERROR(VLOOKUP(H150,#REF!,9,0)),"",VLOOKUP(H150,#REF!,9,0))</f>
        <v/>
      </c>
      <c r="J150" s="42" t="s">
        <v>655</v>
      </c>
      <c r="K150" s="1" t="s">
        <v>161</v>
      </c>
      <c r="L150" s="1" t="s">
        <v>47</v>
      </c>
      <c r="M150" s="43">
        <v>2022</v>
      </c>
      <c r="N150" s="42"/>
      <c r="O150" s="43" t="s">
        <v>163</v>
      </c>
      <c r="P150" s="43"/>
      <c r="Q150" s="43"/>
      <c r="R150" s="43"/>
      <c r="S150" s="43"/>
      <c r="T150" s="43"/>
      <c r="U150" s="42"/>
    </row>
    <row r="151" spans="1:21" ht="21" customHeight="1" x14ac:dyDescent="0.3">
      <c r="A151" s="44" t="str">
        <f t="shared" si="8"/>
        <v>11</v>
      </c>
      <c r="B151" s="41">
        <f t="shared" si="9"/>
        <v>1</v>
      </c>
      <c r="C151" s="41" t="str">
        <f t="shared" si="10"/>
        <v/>
      </c>
      <c r="D151" s="41">
        <f t="shared" si="11"/>
        <v>1</v>
      </c>
      <c r="E151" s="62"/>
      <c r="F151" s="1" t="s">
        <v>192</v>
      </c>
      <c r="G151" s="1">
        <v>148</v>
      </c>
      <c r="H151" s="4" t="s">
        <v>656</v>
      </c>
      <c r="I151" s="4" t="str">
        <f>IF(ISERROR(VLOOKUP(H151,#REF!,9,0)),"",VLOOKUP(H151,#REF!,9,0))</f>
        <v/>
      </c>
      <c r="J151" s="42" t="s">
        <v>657</v>
      </c>
      <c r="K151" s="1" t="s">
        <v>161</v>
      </c>
      <c r="L151" s="1" t="s">
        <v>47</v>
      </c>
      <c r="M151" s="43">
        <v>2022</v>
      </c>
      <c r="N151" s="42"/>
      <c r="O151" s="43" t="s">
        <v>163</v>
      </c>
      <c r="P151" s="43"/>
      <c r="Q151" s="43"/>
      <c r="R151" s="43"/>
      <c r="S151" s="43"/>
      <c r="T151" s="43"/>
      <c r="U151" s="42"/>
    </row>
    <row r="152" spans="1:21" ht="21" customHeight="1" x14ac:dyDescent="0.3">
      <c r="A152" s="44" t="str">
        <f t="shared" si="8"/>
        <v>1</v>
      </c>
      <c r="B152" s="41">
        <f t="shared" si="9"/>
        <v>1</v>
      </c>
      <c r="C152" s="41" t="str">
        <f t="shared" si="10"/>
        <v/>
      </c>
      <c r="D152" s="41" t="str">
        <f t="shared" si="11"/>
        <v/>
      </c>
      <c r="E152" s="62"/>
      <c r="F152" s="1" t="s">
        <v>212</v>
      </c>
      <c r="G152" s="1">
        <v>149</v>
      </c>
      <c r="H152" s="4" t="s">
        <v>213</v>
      </c>
      <c r="I152" s="4" t="str">
        <f>IF(ISERROR(VLOOKUP(H152,#REF!,9,0)),"",VLOOKUP(H152,#REF!,9,0))</f>
        <v/>
      </c>
      <c r="J152" s="42"/>
      <c r="K152" s="1" t="s">
        <v>161</v>
      </c>
      <c r="L152" s="1" t="s">
        <v>522</v>
      </c>
      <c r="M152" s="43">
        <v>2022</v>
      </c>
      <c r="N152" s="42"/>
      <c r="O152" s="43" t="s">
        <v>163</v>
      </c>
      <c r="P152" s="43"/>
      <c r="Q152" s="43"/>
      <c r="R152" s="43"/>
      <c r="S152" s="43"/>
      <c r="T152" s="43"/>
      <c r="U152" s="42"/>
    </row>
    <row r="153" spans="1:21" ht="21" customHeight="1" x14ac:dyDescent="0.3">
      <c r="A153" s="44" t="str">
        <f t="shared" si="8"/>
        <v>1</v>
      </c>
      <c r="B153" s="41">
        <f t="shared" si="9"/>
        <v>1</v>
      </c>
      <c r="C153" s="41" t="str">
        <f t="shared" si="10"/>
        <v/>
      </c>
      <c r="D153" s="41" t="str">
        <f t="shared" si="11"/>
        <v/>
      </c>
      <c r="E153" s="62"/>
      <c r="F153" s="1" t="s">
        <v>216</v>
      </c>
      <c r="G153" s="1">
        <v>150</v>
      </c>
      <c r="H153" s="4" t="s">
        <v>217</v>
      </c>
      <c r="I153" s="4" t="str">
        <f>IF(ISERROR(VLOOKUP(H153,#REF!,9,0)),"",VLOOKUP(H153,#REF!,9,0))</f>
        <v/>
      </c>
      <c r="J153" s="42"/>
      <c r="K153" s="1" t="s">
        <v>161</v>
      </c>
      <c r="L153" s="1" t="s">
        <v>522</v>
      </c>
      <c r="M153" s="43">
        <v>2022</v>
      </c>
      <c r="N153" s="42"/>
      <c r="O153" s="43" t="s">
        <v>163</v>
      </c>
      <c r="P153" s="43"/>
      <c r="Q153" s="43"/>
      <c r="R153" s="43"/>
      <c r="S153" s="43"/>
      <c r="T153" s="43"/>
      <c r="U153" s="42"/>
    </row>
    <row r="154" spans="1:21" ht="21" customHeight="1" x14ac:dyDescent="0.3">
      <c r="A154" s="44" t="str">
        <f t="shared" si="8"/>
        <v>1</v>
      </c>
      <c r="B154" s="41">
        <f t="shared" si="9"/>
        <v>1</v>
      </c>
      <c r="C154" s="41" t="str">
        <f t="shared" si="10"/>
        <v/>
      </c>
      <c r="D154" s="41" t="str">
        <f t="shared" si="11"/>
        <v/>
      </c>
      <c r="E154" s="62"/>
      <c r="F154" s="1" t="s">
        <v>216</v>
      </c>
      <c r="G154" s="1">
        <v>151</v>
      </c>
      <c r="H154" s="4" t="s">
        <v>219</v>
      </c>
      <c r="I154" s="4" t="str">
        <f>IF(ISERROR(VLOOKUP(H154,#REF!,9,0)),"",VLOOKUP(H154,#REF!,9,0))</f>
        <v/>
      </c>
      <c r="J154" s="42"/>
      <c r="K154" s="1" t="s">
        <v>161</v>
      </c>
      <c r="L154" s="1" t="s">
        <v>522</v>
      </c>
      <c r="M154" s="43">
        <v>2022</v>
      </c>
      <c r="N154" s="42"/>
      <c r="O154" s="43" t="s">
        <v>163</v>
      </c>
      <c r="P154" s="43"/>
      <c r="Q154" s="43"/>
      <c r="R154" s="43"/>
      <c r="S154" s="43"/>
      <c r="T154" s="43"/>
      <c r="U154" s="42"/>
    </row>
    <row r="155" spans="1:21" ht="21" customHeight="1" x14ac:dyDescent="0.3">
      <c r="A155" s="44" t="str">
        <f t="shared" si="8"/>
        <v>1</v>
      </c>
      <c r="B155" s="41">
        <f t="shared" si="9"/>
        <v>1</v>
      </c>
      <c r="C155" s="41" t="str">
        <f t="shared" si="10"/>
        <v/>
      </c>
      <c r="D155" s="41" t="str">
        <f t="shared" si="11"/>
        <v/>
      </c>
      <c r="E155" s="62"/>
      <c r="F155" s="1" t="s">
        <v>212</v>
      </c>
      <c r="G155" s="1">
        <v>152</v>
      </c>
      <c r="H155" s="4" t="s">
        <v>221</v>
      </c>
      <c r="I155" s="4" t="str">
        <f>IF(ISERROR(VLOOKUP(H155,#REF!,9,0)),"",VLOOKUP(H155,#REF!,9,0))</f>
        <v/>
      </c>
      <c r="J155" s="42"/>
      <c r="K155" s="1" t="s">
        <v>161</v>
      </c>
      <c r="L155" s="1" t="s">
        <v>522</v>
      </c>
      <c r="M155" s="43">
        <v>2022</v>
      </c>
      <c r="N155" s="42"/>
      <c r="O155" s="43" t="s">
        <v>163</v>
      </c>
      <c r="P155" s="43"/>
      <c r="Q155" s="43"/>
      <c r="R155" s="43"/>
      <c r="S155" s="43"/>
      <c r="T155" s="43"/>
      <c r="U155" s="42"/>
    </row>
    <row r="156" spans="1:21" ht="21" customHeight="1" x14ac:dyDescent="0.3">
      <c r="A156" s="44" t="str">
        <f t="shared" si="8"/>
        <v>11</v>
      </c>
      <c r="B156" s="41">
        <f t="shared" si="9"/>
        <v>1</v>
      </c>
      <c r="C156" s="41" t="str">
        <f t="shared" si="10"/>
        <v/>
      </c>
      <c r="D156" s="41">
        <f t="shared" si="11"/>
        <v>1</v>
      </c>
      <c r="E156" s="62"/>
      <c r="F156" s="1" t="s">
        <v>212</v>
      </c>
      <c r="G156" s="1">
        <v>153</v>
      </c>
      <c r="H156" s="4" t="s">
        <v>658</v>
      </c>
      <c r="I156" s="4" t="str">
        <f>IF(ISERROR(VLOOKUP(H156,#REF!,9,0)),"",VLOOKUP(H156,#REF!,9,0))</f>
        <v/>
      </c>
      <c r="J156" s="42" t="s">
        <v>659</v>
      </c>
      <c r="K156" s="1" t="s">
        <v>161</v>
      </c>
      <c r="L156" s="1" t="s">
        <v>47</v>
      </c>
      <c r="M156" s="43">
        <v>2022</v>
      </c>
      <c r="N156" s="42"/>
      <c r="O156" s="43" t="s">
        <v>163</v>
      </c>
      <c r="P156" s="43"/>
      <c r="Q156" s="43"/>
      <c r="R156" s="43"/>
      <c r="S156" s="43"/>
      <c r="T156" s="43"/>
      <c r="U156" s="42"/>
    </row>
    <row r="157" spans="1:21" ht="21" customHeight="1" x14ac:dyDescent="0.3">
      <c r="A157" s="44" t="str">
        <f t="shared" si="8"/>
        <v>11</v>
      </c>
      <c r="B157" s="41">
        <f t="shared" si="9"/>
        <v>1</v>
      </c>
      <c r="C157" s="41" t="str">
        <f t="shared" si="10"/>
        <v/>
      </c>
      <c r="D157" s="41">
        <f t="shared" si="11"/>
        <v>1</v>
      </c>
      <c r="E157" s="62"/>
      <c r="F157" s="1" t="s">
        <v>212</v>
      </c>
      <c r="G157" s="1">
        <v>154</v>
      </c>
      <c r="H157" s="4" t="s">
        <v>660</v>
      </c>
      <c r="I157" s="4" t="str">
        <f>IF(ISERROR(VLOOKUP(H157,#REF!,9,0)),"",VLOOKUP(H157,#REF!,9,0))</f>
        <v/>
      </c>
      <c r="J157" s="42" t="s">
        <v>660</v>
      </c>
      <c r="K157" s="1" t="s">
        <v>161</v>
      </c>
      <c r="L157" s="1" t="s">
        <v>47</v>
      </c>
      <c r="M157" s="43">
        <v>2022</v>
      </c>
      <c r="N157" s="42"/>
      <c r="O157" s="43" t="s">
        <v>163</v>
      </c>
      <c r="P157" s="43"/>
      <c r="Q157" s="43"/>
      <c r="R157" s="43"/>
      <c r="S157" s="43"/>
      <c r="T157" s="43"/>
      <c r="U157" s="42"/>
    </row>
    <row r="158" spans="1:21" ht="21" customHeight="1" x14ac:dyDescent="0.3">
      <c r="A158" s="44" t="str">
        <f t="shared" si="8"/>
        <v>11</v>
      </c>
      <c r="B158" s="41">
        <f t="shared" si="9"/>
        <v>1</v>
      </c>
      <c r="C158" s="41" t="str">
        <f t="shared" si="10"/>
        <v/>
      </c>
      <c r="D158" s="41">
        <f t="shared" si="11"/>
        <v>1</v>
      </c>
      <c r="E158" s="62"/>
      <c r="F158" s="1" t="s">
        <v>212</v>
      </c>
      <c r="G158" s="1">
        <v>155</v>
      </c>
      <c r="H158" s="4" t="s">
        <v>661</v>
      </c>
      <c r="I158" s="4" t="str">
        <f>IF(ISERROR(VLOOKUP(H158,#REF!,9,0)),"",VLOOKUP(H158,#REF!,9,0))</f>
        <v/>
      </c>
      <c r="J158" s="42" t="s">
        <v>662</v>
      </c>
      <c r="K158" s="1" t="s">
        <v>161</v>
      </c>
      <c r="L158" s="1" t="s">
        <v>47</v>
      </c>
      <c r="M158" s="43">
        <v>2022</v>
      </c>
      <c r="N158" s="42"/>
      <c r="O158" s="43" t="s">
        <v>163</v>
      </c>
      <c r="P158" s="43"/>
      <c r="Q158" s="43"/>
      <c r="R158" s="43"/>
      <c r="S158" s="43"/>
      <c r="T158" s="43"/>
      <c r="U158" s="42"/>
    </row>
    <row r="159" spans="1:21" ht="21" customHeight="1" x14ac:dyDescent="0.3">
      <c r="A159" s="44" t="str">
        <f t="shared" si="8"/>
        <v>11</v>
      </c>
      <c r="B159" s="41">
        <f t="shared" si="9"/>
        <v>1</v>
      </c>
      <c r="C159" s="41" t="str">
        <f t="shared" si="10"/>
        <v/>
      </c>
      <c r="D159" s="41">
        <f t="shared" si="11"/>
        <v>1</v>
      </c>
      <c r="E159" s="62"/>
      <c r="F159" s="1" t="s">
        <v>212</v>
      </c>
      <c r="G159" s="1">
        <v>156</v>
      </c>
      <c r="H159" s="4" t="s">
        <v>663</v>
      </c>
      <c r="I159" s="4" t="str">
        <f>IF(ISERROR(VLOOKUP(H159,#REF!,9,0)),"",VLOOKUP(H159,#REF!,9,0))</f>
        <v/>
      </c>
      <c r="J159" s="42" t="s">
        <v>663</v>
      </c>
      <c r="K159" s="1" t="s">
        <v>161</v>
      </c>
      <c r="L159" s="1" t="s">
        <v>47</v>
      </c>
      <c r="M159" s="43">
        <v>2022</v>
      </c>
      <c r="N159" s="42"/>
      <c r="O159" s="43" t="s">
        <v>163</v>
      </c>
      <c r="P159" s="43"/>
      <c r="Q159" s="43"/>
      <c r="R159" s="43"/>
      <c r="S159" s="43"/>
      <c r="T159" s="43"/>
      <c r="U159" s="42"/>
    </row>
    <row r="160" spans="1:21" ht="21" customHeight="1" x14ac:dyDescent="0.3">
      <c r="A160" s="44" t="str">
        <f t="shared" si="8"/>
        <v>11</v>
      </c>
      <c r="B160" s="41">
        <f t="shared" si="9"/>
        <v>1</v>
      </c>
      <c r="C160" s="41" t="str">
        <f t="shared" si="10"/>
        <v/>
      </c>
      <c r="D160" s="41">
        <f t="shared" si="11"/>
        <v>1</v>
      </c>
      <c r="E160" s="62"/>
      <c r="F160" s="1" t="s">
        <v>212</v>
      </c>
      <c r="G160" s="1">
        <v>157</v>
      </c>
      <c r="H160" s="4" t="s">
        <v>664</v>
      </c>
      <c r="I160" s="4" t="str">
        <f>IF(ISERROR(VLOOKUP(H160,#REF!,9,0)),"",VLOOKUP(H160,#REF!,9,0))</f>
        <v/>
      </c>
      <c r="J160" s="42" t="s">
        <v>665</v>
      </c>
      <c r="K160" s="1" t="s">
        <v>161</v>
      </c>
      <c r="L160" s="1" t="s">
        <v>47</v>
      </c>
      <c r="M160" s="43">
        <v>2022</v>
      </c>
      <c r="N160" s="42"/>
      <c r="O160" s="43" t="s">
        <v>163</v>
      </c>
      <c r="P160" s="43"/>
      <c r="Q160" s="43"/>
      <c r="R160" s="43"/>
      <c r="S160" s="43"/>
      <c r="T160" s="43"/>
      <c r="U160" s="42"/>
    </row>
    <row r="161" spans="1:21" ht="21" customHeight="1" x14ac:dyDescent="0.3">
      <c r="A161" s="44" t="str">
        <f t="shared" si="8"/>
        <v>1</v>
      </c>
      <c r="B161" s="41" t="str">
        <f t="shared" si="9"/>
        <v/>
      </c>
      <c r="C161" s="41" t="str">
        <f t="shared" si="10"/>
        <v/>
      </c>
      <c r="D161" s="41">
        <f t="shared" si="11"/>
        <v>1</v>
      </c>
      <c r="E161" s="62"/>
      <c r="F161" s="1"/>
      <c r="G161" s="1">
        <v>158</v>
      </c>
      <c r="H161" s="4"/>
      <c r="I161" s="4" t="str">
        <f>IF(ISERROR(VLOOKUP(H161,#REF!,9,0)),"",VLOOKUP(H161,#REF!,9,0))</f>
        <v/>
      </c>
      <c r="J161" s="42" t="s">
        <v>666</v>
      </c>
      <c r="K161" s="1" t="s">
        <v>161</v>
      </c>
      <c r="L161" s="1" t="s">
        <v>47</v>
      </c>
      <c r="M161" s="43">
        <v>2022</v>
      </c>
      <c r="N161" s="42"/>
      <c r="O161" s="43" t="s">
        <v>163</v>
      </c>
      <c r="P161" s="43"/>
      <c r="Q161" s="43"/>
      <c r="R161" s="43"/>
      <c r="S161" s="43"/>
      <c r="T161" s="43"/>
      <c r="U161" s="42"/>
    </row>
    <row r="162" spans="1:21" ht="21" customHeight="1" x14ac:dyDescent="0.3">
      <c r="A162" s="44" t="str">
        <f t="shared" si="8"/>
        <v>1</v>
      </c>
      <c r="B162" s="41" t="str">
        <f t="shared" si="9"/>
        <v/>
      </c>
      <c r="C162" s="41" t="str">
        <f t="shared" si="10"/>
        <v/>
      </c>
      <c r="D162" s="41">
        <f t="shared" si="11"/>
        <v>1</v>
      </c>
      <c r="E162" s="62"/>
      <c r="F162" s="1"/>
      <c r="G162" s="1">
        <v>159</v>
      </c>
      <c r="H162" s="4"/>
      <c r="I162" s="4" t="str">
        <f>IF(ISERROR(VLOOKUP(H162,#REF!,9,0)),"",VLOOKUP(H162,#REF!,9,0))</f>
        <v/>
      </c>
      <c r="J162" s="42" t="s">
        <v>667</v>
      </c>
      <c r="K162" s="1" t="s">
        <v>161</v>
      </c>
      <c r="L162" s="1" t="s">
        <v>47</v>
      </c>
      <c r="M162" s="43">
        <v>2022</v>
      </c>
      <c r="N162" s="42" t="s">
        <v>668</v>
      </c>
      <c r="O162" s="43" t="s">
        <v>163</v>
      </c>
      <c r="P162" s="43"/>
      <c r="Q162" s="43"/>
      <c r="R162" s="43"/>
      <c r="S162" s="43"/>
      <c r="T162" s="43"/>
      <c r="U162" s="42"/>
    </row>
    <row r="163" spans="1:21" ht="21" customHeight="1" x14ac:dyDescent="0.3">
      <c r="A163" s="44" t="str">
        <f t="shared" si="8"/>
        <v>1</v>
      </c>
      <c r="B163" s="41" t="str">
        <f t="shared" si="9"/>
        <v/>
      </c>
      <c r="C163" s="41" t="str">
        <f t="shared" si="10"/>
        <v/>
      </c>
      <c r="D163" s="41">
        <f t="shared" si="11"/>
        <v>1</v>
      </c>
      <c r="E163" s="62"/>
      <c r="F163" s="1"/>
      <c r="G163" s="1">
        <v>160</v>
      </c>
      <c r="H163" s="4"/>
      <c r="I163" s="4" t="str">
        <f>IF(ISERROR(VLOOKUP(H163,#REF!,9,0)),"",VLOOKUP(H163,#REF!,9,0))</f>
        <v/>
      </c>
      <c r="J163" s="42" t="s">
        <v>669</v>
      </c>
      <c r="K163" s="1" t="s">
        <v>161</v>
      </c>
      <c r="L163" s="1" t="s">
        <v>47</v>
      </c>
      <c r="M163" s="43">
        <v>2022</v>
      </c>
      <c r="N163" s="42" t="s">
        <v>670</v>
      </c>
      <c r="O163" s="43" t="s">
        <v>163</v>
      </c>
      <c r="P163" s="43"/>
      <c r="Q163" s="43"/>
      <c r="R163" s="43"/>
      <c r="S163" s="43"/>
      <c r="T163" s="43"/>
      <c r="U163" s="42"/>
    </row>
    <row r="164" spans="1:21" ht="21" customHeight="1" x14ac:dyDescent="0.3">
      <c r="A164" s="44" t="str">
        <f t="shared" si="8"/>
        <v>1</v>
      </c>
      <c r="B164" s="41" t="str">
        <f t="shared" si="9"/>
        <v/>
      </c>
      <c r="C164" s="41" t="str">
        <f t="shared" si="10"/>
        <v/>
      </c>
      <c r="D164" s="41">
        <f t="shared" si="11"/>
        <v>1</v>
      </c>
      <c r="E164" s="62"/>
      <c r="F164" s="1"/>
      <c r="G164" s="1">
        <v>161</v>
      </c>
      <c r="H164" s="4"/>
      <c r="I164" s="4" t="str">
        <f>IF(ISERROR(VLOOKUP(H164,#REF!,9,0)),"",VLOOKUP(H164,#REF!,9,0))</f>
        <v/>
      </c>
      <c r="J164" s="42" t="s">
        <v>671</v>
      </c>
      <c r="K164" s="1" t="s">
        <v>161</v>
      </c>
      <c r="L164" s="1" t="s">
        <v>47</v>
      </c>
      <c r="M164" s="43">
        <v>2022</v>
      </c>
      <c r="N164" s="42"/>
      <c r="O164" s="43" t="s">
        <v>163</v>
      </c>
      <c r="P164" s="43"/>
      <c r="Q164" s="43"/>
      <c r="R164" s="43"/>
      <c r="S164" s="43"/>
      <c r="T164" s="43"/>
      <c r="U164" s="42"/>
    </row>
    <row r="165" spans="1:21" ht="21" customHeight="1" x14ac:dyDescent="0.3">
      <c r="A165" s="44" t="str">
        <f t="shared" si="8"/>
        <v>1</v>
      </c>
      <c r="B165" s="41">
        <f t="shared" si="9"/>
        <v>1</v>
      </c>
      <c r="C165" s="41" t="str">
        <f t="shared" si="10"/>
        <v/>
      </c>
      <c r="D165" s="41" t="str">
        <f t="shared" si="11"/>
        <v/>
      </c>
      <c r="E165" s="62"/>
      <c r="F165" s="1" t="s">
        <v>197</v>
      </c>
      <c r="G165" s="1">
        <v>162</v>
      </c>
      <c r="H165" s="4" t="s">
        <v>222</v>
      </c>
      <c r="I165" s="4" t="str">
        <f>IF(ISERROR(VLOOKUP(H165,#REF!,9,0)),"",VLOOKUP(H165,#REF!,9,0))</f>
        <v/>
      </c>
      <c r="J165" s="42"/>
      <c r="K165" s="1" t="s">
        <v>161</v>
      </c>
      <c r="L165" s="1" t="s">
        <v>522</v>
      </c>
      <c r="M165" s="43">
        <v>2022</v>
      </c>
      <c r="N165" s="42"/>
      <c r="O165" s="43" t="s">
        <v>163</v>
      </c>
      <c r="P165" s="43"/>
      <c r="Q165" s="43"/>
      <c r="R165" s="43"/>
      <c r="S165" s="43"/>
      <c r="T165" s="43"/>
      <c r="U165" s="42"/>
    </row>
    <row r="166" spans="1:21" ht="21" customHeight="1" x14ac:dyDescent="0.3">
      <c r="A166" s="44" t="str">
        <f t="shared" si="8"/>
        <v>1</v>
      </c>
      <c r="B166" s="41" t="str">
        <f t="shared" si="9"/>
        <v/>
      </c>
      <c r="C166" s="41" t="str">
        <f t="shared" si="10"/>
        <v/>
      </c>
      <c r="D166" s="41">
        <f t="shared" si="11"/>
        <v>1</v>
      </c>
      <c r="E166" s="62"/>
      <c r="F166" s="1" t="s">
        <v>672</v>
      </c>
      <c r="G166" s="1">
        <v>163</v>
      </c>
      <c r="H166" s="4"/>
      <c r="I166" s="4" t="str">
        <f>IF(ISERROR(VLOOKUP(H166,#REF!,9,0)),"",VLOOKUP(H166,#REF!,9,0))</f>
        <v/>
      </c>
      <c r="J166" s="42" t="s">
        <v>673</v>
      </c>
      <c r="K166" s="1" t="s">
        <v>161</v>
      </c>
      <c r="L166" s="1" t="s">
        <v>47</v>
      </c>
      <c r="M166" s="43">
        <v>2022</v>
      </c>
      <c r="N166" s="42" t="s">
        <v>674</v>
      </c>
      <c r="O166" s="43" t="s">
        <v>163</v>
      </c>
      <c r="P166" s="43"/>
      <c r="Q166" s="43"/>
      <c r="R166" s="43"/>
      <c r="S166" s="43"/>
      <c r="T166" s="43"/>
      <c r="U166" s="42"/>
    </row>
    <row r="167" spans="1:21" ht="21" customHeight="1" x14ac:dyDescent="0.3">
      <c r="A167" s="44" t="str">
        <f t="shared" si="8"/>
        <v>1</v>
      </c>
      <c r="B167" s="41" t="str">
        <f t="shared" si="9"/>
        <v/>
      </c>
      <c r="C167" s="41" t="str">
        <f t="shared" si="10"/>
        <v/>
      </c>
      <c r="D167" s="41">
        <f t="shared" si="11"/>
        <v>1</v>
      </c>
      <c r="E167" s="62"/>
      <c r="F167" s="1" t="s">
        <v>672</v>
      </c>
      <c r="G167" s="1">
        <v>164</v>
      </c>
      <c r="H167" s="4"/>
      <c r="I167" s="4" t="str">
        <f>IF(ISERROR(VLOOKUP(H167,#REF!,9,0)),"",VLOOKUP(H167,#REF!,9,0))</f>
        <v/>
      </c>
      <c r="J167" s="42" t="s">
        <v>675</v>
      </c>
      <c r="K167" s="1" t="s">
        <v>161</v>
      </c>
      <c r="L167" s="1" t="s">
        <v>47</v>
      </c>
      <c r="M167" s="43">
        <v>2022</v>
      </c>
      <c r="N167" s="42" t="s">
        <v>676</v>
      </c>
      <c r="O167" s="43" t="s">
        <v>163</v>
      </c>
      <c r="P167" s="43"/>
      <c r="Q167" s="43"/>
      <c r="R167" s="43"/>
      <c r="S167" s="43"/>
      <c r="T167" s="43"/>
      <c r="U167" s="42"/>
    </row>
    <row r="168" spans="1:21" ht="21" customHeight="1" x14ac:dyDescent="0.3">
      <c r="A168" s="44" t="str">
        <f t="shared" si="8"/>
        <v>11</v>
      </c>
      <c r="B168" s="41">
        <f t="shared" si="9"/>
        <v>1</v>
      </c>
      <c r="C168" s="41" t="str">
        <f t="shared" si="10"/>
        <v/>
      </c>
      <c r="D168" s="41">
        <f t="shared" si="11"/>
        <v>1</v>
      </c>
      <c r="E168" s="62"/>
      <c r="F168" s="1" t="s">
        <v>672</v>
      </c>
      <c r="G168" s="1">
        <v>165</v>
      </c>
      <c r="H168" s="4" t="s">
        <v>348</v>
      </c>
      <c r="I168" s="4" t="str">
        <f>IF(ISERROR(VLOOKUP(H168,#REF!,9,0)),"",VLOOKUP(H168,#REF!,9,0))</f>
        <v/>
      </c>
      <c r="J168" s="42" t="s">
        <v>348</v>
      </c>
      <c r="K168" s="1" t="s">
        <v>161</v>
      </c>
      <c r="L168" s="1" t="s">
        <v>47</v>
      </c>
      <c r="M168" s="43">
        <v>2022</v>
      </c>
      <c r="N168" s="42"/>
      <c r="O168" s="43" t="s">
        <v>163</v>
      </c>
      <c r="P168" s="43"/>
      <c r="Q168" s="43"/>
      <c r="R168" s="43"/>
      <c r="S168" s="43"/>
      <c r="T168" s="43"/>
      <c r="U168" s="42"/>
    </row>
    <row r="169" spans="1:21" ht="21" customHeight="1" x14ac:dyDescent="0.3">
      <c r="A169" s="44" t="str">
        <f t="shared" si="8"/>
        <v>11</v>
      </c>
      <c r="B169" s="41">
        <f t="shared" si="9"/>
        <v>1</v>
      </c>
      <c r="C169" s="41" t="str">
        <f t="shared" si="10"/>
        <v/>
      </c>
      <c r="D169" s="41">
        <f t="shared" si="11"/>
        <v>1</v>
      </c>
      <c r="E169" s="62"/>
      <c r="F169" s="1" t="s">
        <v>672</v>
      </c>
      <c r="G169" s="1">
        <v>166</v>
      </c>
      <c r="H169" s="4" t="s">
        <v>345</v>
      </c>
      <c r="I169" s="4" t="str">
        <f>IF(ISERROR(VLOOKUP(H169,#REF!,9,0)),"",VLOOKUP(H169,#REF!,9,0))</f>
        <v/>
      </c>
      <c r="J169" s="42" t="s">
        <v>345</v>
      </c>
      <c r="K169" s="1" t="s">
        <v>161</v>
      </c>
      <c r="L169" s="1" t="s">
        <v>47</v>
      </c>
      <c r="M169" s="43">
        <v>2022</v>
      </c>
      <c r="N169" s="42"/>
      <c r="O169" s="43" t="s">
        <v>163</v>
      </c>
      <c r="P169" s="43"/>
      <c r="Q169" s="43"/>
      <c r="R169" s="43"/>
      <c r="S169" s="43"/>
      <c r="T169" s="43"/>
      <c r="U169" s="42"/>
    </row>
    <row r="170" spans="1:21" ht="21" customHeight="1" x14ac:dyDescent="0.3">
      <c r="A170" s="44" t="str">
        <f t="shared" si="8"/>
        <v>11</v>
      </c>
      <c r="B170" s="41">
        <f t="shared" si="9"/>
        <v>1</v>
      </c>
      <c r="C170" s="41" t="str">
        <f t="shared" si="10"/>
        <v/>
      </c>
      <c r="D170" s="41">
        <f t="shared" si="11"/>
        <v>1</v>
      </c>
      <c r="E170" s="62"/>
      <c r="F170" s="1" t="s">
        <v>672</v>
      </c>
      <c r="G170" s="1">
        <v>167</v>
      </c>
      <c r="H170" s="4" t="s">
        <v>677</v>
      </c>
      <c r="I170" s="4" t="str">
        <f>IF(ISERROR(VLOOKUP(H170,#REF!,9,0)),"",VLOOKUP(H170,#REF!,9,0))</f>
        <v/>
      </c>
      <c r="J170" s="42" t="s">
        <v>678</v>
      </c>
      <c r="K170" s="1" t="s">
        <v>161</v>
      </c>
      <c r="L170" s="1" t="s">
        <v>47</v>
      </c>
      <c r="M170" s="43">
        <v>2022</v>
      </c>
      <c r="N170" s="42" t="s">
        <v>677</v>
      </c>
      <c r="O170" s="43" t="s">
        <v>163</v>
      </c>
      <c r="P170" s="43"/>
      <c r="Q170" s="43"/>
      <c r="R170" s="43"/>
      <c r="S170" s="43"/>
      <c r="T170" s="43"/>
      <c r="U170" s="42"/>
    </row>
    <row r="171" spans="1:21" ht="21" customHeight="1" x14ac:dyDescent="0.3">
      <c r="A171" s="44" t="str">
        <f t="shared" si="8"/>
        <v>11</v>
      </c>
      <c r="B171" s="41">
        <f t="shared" si="9"/>
        <v>1</v>
      </c>
      <c r="C171" s="41" t="str">
        <f t="shared" si="10"/>
        <v/>
      </c>
      <c r="D171" s="41">
        <f t="shared" si="11"/>
        <v>1</v>
      </c>
      <c r="E171" s="62"/>
      <c r="F171" s="1" t="s">
        <v>672</v>
      </c>
      <c r="G171" s="1">
        <v>168</v>
      </c>
      <c r="H171" s="4" t="s">
        <v>679</v>
      </c>
      <c r="I171" s="4" t="str">
        <f>IF(ISERROR(VLOOKUP(H171,#REF!,9,0)),"",VLOOKUP(H171,#REF!,9,0))</f>
        <v/>
      </c>
      <c r="J171" s="42" t="s">
        <v>679</v>
      </c>
      <c r="K171" s="1" t="s">
        <v>161</v>
      </c>
      <c r="L171" s="1" t="s">
        <v>47</v>
      </c>
      <c r="M171" s="43">
        <v>2022</v>
      </c>
      <c r="N171" s="42"/>
      <c r="O171" s="43" t="s">
        <v>163</v>
      </c>
      <c r="P171" s="43"/>
      <c r="Q171" s="43"/>
      <c r="R171" s="43"/>
      <c r="S171" s="43"/>
      <c r="T171" s="43"/>
      <c r="U171" s="42"/>
    </row>
    <row r="172" spans="1:21" ht="21" customHeight="1" x14ac:dyDescent="0.3">
      <c r="A172" s="44" t="str">
        <f t="shared" si="8"/>
        <v>11</v>
      </c>
      <c r="B172" s="41">
        <f t="shared" si="9"/>
        <v>1</v>
      </c>
      <c r="C172" s="41" t="str">
        <f t="shared" si="10"/>
        <v/>
      </c>
      <c r="D172" s="41">
        <f t="shared" si="11"/>
        <v>1</v>
      </c>
      <c r="E172" s="62"/>
      <c r="F172" s="1" t="s">
        <v>672</v>
      </c>
      <c r="G172" s="1">
        <v>169</v>
      </c>
      <c r="H172" s="4" t="s">
        <v>680</v>
      </c>
      <c r="I172" s="4" t="str">
        <f>IF(ISERROR(VLOOKUP(H172,#REF!,9,0)),"",VLOOKUP(H172,#REF!,9,0))</f>
        <v/>
      </c>
      <c r="J172" s="42" t="s">
        <v>681</v>
      </c>
      <c r="K172" s="1" t="s">
        <v>161</v>
      </c>
      <c r="L172" s="1" t="s">
        <v>47</v>
      </c>
      <c r="M172" s="43">
        <v>2022</v>
      </c>
      <c r="N172" s="42"/>
      <c r="O172" s="43" t="s">
        <v>163</v>
      </c>
      <c r="P172" s="43"/>
      <c r="Q172" s="43"/>
      <c r="R172" s="43"/>
      <c r="S172" s="43"/>
      <c r="T172" s="43"/>
      <c r="U172" s="42"/>
    </row>
    <row r="173" spans="1:21" ht="21" customHeight="1" x14ac:dyDescent="0.3">
      <c r="A173" s="44" t="str">
        <f t="shared" si="8"/>
        <v>11</v>
      </c>
      <c r="B173" s="41">
        <f t="shared" si="9"/>
        <v>1</v>
      </c>
      <c r="C173" s="41" t="str">
        <f t="shared" si="10"/>
        <v/>
      </c>
      <c r="D173" s="41">
        <f t="shared" si="11"/>
        <v>1</v>
      </c>
      <c r="E173" s="62"/>
      <c r="F173" s="1" t="s">
        <v>672</v>
      </c>
      <c r="G173" s="1">
        <v>170</v>
      </c>
      <c r="H173" s="4" t="s">
        <v>682</v>
      </c>
      <c r="I173" s="4" t="str">
        <f>IF(ISERROR(VLOOKUP(H173,#REF!,9,0)),"",VLOOKUP(H173,#REF!,9,0))</f>
        <v/>
      </c>
      <c r="J173" s="42" t="s">
        <v>682</v>
      </c>
      <c r="K173" s="1" t="s">
        <v>161</v>
      </c>
      <c r="L173" s="1" t="s">
        <v>47</v>
      </c>
      <c r="M173" s="43">
        <v>2022</v>
      </c>
      <c r="N173" s="42"/>
      <c r="O173" s="43" t="s">
        <v>163</v>
      </c>
      <c r="P173" s="43"/>
      <c r="Q173" s="43"/>
      <c r="R173" s="43"/>
      <c r="S173" s="43"/>
      <c r="T173" s="43"/>
      <c r="U173" s="42"/>
    </row>
    <row r="174" spans="1:21" ht="21" customHeight="1" x14ac:dyDescent="0.3">
      <c r="A174" s="44" t="str">
        <f t="shared" si="8"/>
        <v>11</v>
      </c>
      <c r="B174" s="41">
        <f t="shared" si="9"/>
        <v>1</v>
      </c>
      <c r="C174" s="41" t="str">
        <f t="shared" si="10"/>
        <v/>
      </c>
      <c r="D174" s="41">
        <f t="shared" si="11"/>
        <v>1</v>
      </c>
      <c r="E174" s="62"/>
      <c r="F174" s="1" t="s">
        <v>672</v>
      </c>
      <c r="G174" s="1">
        <v>171</v>
      </c>
      <c r="H174" s="4" t="s">
        <v>683</v>
      </c>
      <c r="I174" s="4" t="str">
        <f>IF(ISERROR(VLOOKUP(H174,#REF!,9,0)),"",VLOOKUP(H174,#REF!,9,0))</f>
        <v/>
      </c>
      <c r="J174" s="42" t="s">
        <v>684</v>
      </c>
      <c r="K174" s="1" t="s">
        <v>161</v>
      </c>
      <c r="L174" s="1" t="s">
        <v>47</v>
      </c>
      <c r="M174" s="43">
        <v>2022</v>
      </c>
      <c r="N174" s="42" t="s">
        <v>683</v>
      </c>
      <c r="O174" s="43" t="s">
        <v>163</v>
      </c>
      <c r="P174" s="43"/>
      <c r="Q174" s="43"/>
      <c r="R174" s="43"/>
      <c r="S174" s="43"/>
      <c r="T174" s="43"/>
      <c r="U174" s="42"/>
    </row>
    <row r="175" spans="1:21" ht="21" customHeight="1" x14ac:dyDescent="0.3">
      <c r="A175" s="44" t="str">
        <f t="shared" si="8"/>
        <v>11</v>
      </c>
      <c r="B175" s="41">
        <f t="shared" si="9"/>
        <v>1</v>
      </c>
      <c r="C175" s="41" t="str">
        <f t="shared" si="10"/>
        <v/>
      </c>
      <c r="D175" s="41">
        <f t="shared" si="11"/>
        <v>1</v>
      </c>
      <c r="E175" s="62"/>
      <c r="F175" s="1" t="s">
        <v>227</v>
      </c>
      <c r="G175" s="1">
        <v>172</v>
      </c>
      <c r="H175" s="4" t="s">
        <v>685</v>
      </c>
      <c r="I175" s="4" t="str">
        <f>IF(ISERROR(VLOOKUP(H175,#REF!,9,0)),"",VLOOKUP(H175,#REF!,9,0))</f>
        <v/>
      </c>
      <c r="J175" s="42" t="s">
        <v>686</v>
      </c>
      <c r="K175" s="1" t="s">
        <v>161</v>
      </c>
      <c r="L175" s="1" t="s">
        <v>47</v>
      </c>
      <c r="M175" s="43">
        <v>2022</v>
      </c>
      <c r="N175" s="42" t="s">
        <v>687</v>
      </c>
      <c r="O175" s="43" t="s">
        <v>163</v>
      </c>
      <c r="P175" s="43"/>
      <c r="Q175" s="43"/>
      <c r="R175" s="43"/>
      <c r="S175" s="43"/>
      <c r="T175" s="43"/>
      <c r="U175" s="42"/>
    </row>
    <row r="176" spans="1:21" ht="21" customHeight="1" x14ac:dyDescent="0.3">
      <c r="A176" s="44" t="str">
        <f t="shared" si="8"/>
        <v>1</v>
      </c>
      <c r="B176" s="41">
        <f t="shared" si="9"/>
        <v>1</v>
      </c>
      <c r="C176" s="41" t="str">
        <f t="shared" si="10"/>
        <v/>
      </c>
      <c r="D176" s="41" t="str">
        <f t="shared" si="11"/>
        <v/>
      </c>
      <c r="E176" s="62"/>
      <c r="F176" s="1"/>
      <c r="G176" s="1">
        <v>173</v>
      </c>
      <c r="H176" s="4" t="s">
        <v>223</v>
      </c>
      <c r="I176" s="4" t="str">
        <f>IF(ISERROR(VLOOKUP(H176,#REF!,9,0)),"",VLOOKUP(H176,#REF!,9,0))</f>
        <v/>
      </c>
      <c r="J176" s="42"/>
      <c r="K176" s="1" t="s">
        <v>161</v>
      </c>
      <c r="L176" s="1" t="s">
        <v>522</v>
      </c>
      <c r="M176" s="43">
        <v>2022</v>
      </c>
      <c r="N176" s="42"/>
      <c r="O176" s="43" t="s">
        <v>163</v>
      </c>
      <c r="P176" s="43"/>
      <c r="Q176" s="43"/>
      <c r="R176" s="43"/>
      <c r="S176" s="43"/>
      <c r="T176" s="43"/>
      <c r="U176" s="42"/>
    </row>
    <row r="177" spans="1:21" ht="21" customHeight="1" x14ac:dyDescent="0.3">
      <c r="A177" s="44" t="str">
        <f t="shared" si="8"/>
        <v>1</v>
      </c>
      <c r="B177" s="41">
        <f t="shared" si="9"/>
        <v>1</v>
      </c>
      <c r="C177" s="41" t="str">
        <f t="shared" si="10"/>
        <v/>
      </c>
      <c r="D177" s="41" t="str">
        <f t="shared" si="11"/>
        <v/>
      </c>
      <c r="E177" s="62"/>
      <c r="F177" s="1"/>
      <c r="G177" s="1">
        <v>174</v>
      </c>
      <c r="H177" s="4" t="s">
        <v>224</v>
      </c>
      <c r="I177" s="4" t="str">
        <f>IF(ISERROR(VLOOKUP(H177,#REF!,9,0)),"",VLOOKUP(H177,#REF!,9,0))</f>
        <v/>
      </c>
      <c r="J177" s="42"/>
      <c r="K177" s="1" t="s">
        <v>161</v>
      </c>
      <c r="L177" s="1" t="s">
        <v>522</v>
      </c>
      <c r="M177" s="43">
        <v>2022</v>
      </c>
      <c r="N177" s="42"/>
      <c r="O177" s="43" t="s">
        <v>163</v>
      </c>
      <c r="P177" s="43"/>
      <c r="Q177" s="43"/>
      <c r="R177" s="43"/>
      <c r="S177" s="43"/>
      <c r="T177" s="43"/>
      <c r="U177" s="42"/>
    </row>
    <row r="178" spans="1:21" ht="21" customHeight="1" x14ac:dyDescent="0.3">
      <c r="A178" s="44" t="str">
        <f t="shared" si="8"/>
        <v>1</v>
      </c>
      <c r="B178" s="41">
        <f t="shared" si="9"/>
        <v>1</v>
      </c>
      <c r="C178" s="41" t="str">
        <f t="shared" si="10"/>
        <v/>
      </c>
      <c r="D178" s="41" t="str">
        <f t="shared" si="11"/>
        <v/>
      </c>
      <c r="E178" s="62"/>
      <c r="F178" s="1"/>
      <c r="G178" s="1">
        <v>175</v>
      </c>
      <c r="H178" s="4" t="s">
        <v>225</v>
      </c>
      <c r="I178" s="4" t="str">
        <f>IF(ISERROR(VLOOKUP(H178,#REF!,9,0)),"",VLOOKUP(H178,#REF!,9,0))</f>
        <v/>
      </c>
      <c r="J178" s="42"/>
      <c r="K178" s="1" t="s">
        <v>161</v>
      </c>
      <c r="L178" s="1" t="s">
        <v>522</v>
      </c>
      <c r="M178" s="43">
        <v>2022</v>
      </c>
      <c r="N178" s="42"/>
      <c r="O178" s="43" t="s">
        <v>163</v>
      </c>
      <c r="P178" s="43"/>
      <c r="Q178" s="43"/>
      <c r="R178" s="43"/>
      <c r="S178" s="43"/>
      <c r="T178" s="43"/>
      <c r="U178" s="42"/>
    </row>
    <row r="179" spans="1:21" ht="21" customHeight="1" x14ac:dyDescent="0.3">
      <c r="A179" s="44" t="str">
        <f t="shared" si="8"/>
        <v>1</v>
      </c>
      <c r="B179" s="41">
        <f t="shared" si="9"/>
        <v>1</v>
      </c>
      <c r="C179" s="41" t="str">
        <f t="shared" si="10"/>
        <v/>
      </c>
      <c r="D179" s="41" t="str">
        <f t="shared" si="11"/>
        <v/>
      </c>
      <c r="E179" s="62"/>
      <c r="F179" s="1" t="s">
        <v>182</v>
      </c>
      <c r="G179" s="1">
        <v>176</v>
      </c>
      <c r="H179" s="4" t="s">
        <v>226</v>
      </c>
      <c r="I179" s="4" t="str">
        <f>IF(ISERROR(VLOOKUP(H179,#REF!,9,0)),"",VLOOKUP(H179,#REF!,9,0))</f>
        <v/>
      </c>
      <c r="J179" s="42"/>
      <c r="K179" s="1" t="s">
        <v>161</v>
      </c>
      <c r="L179" s="1" t="s">
        <v>522</v>
      </c>
      <c r="M179" s="43">
        <v>2022</v>
      </c>
      <c r="N179" s="42"/>
      <c r="O179" s="43" t="s">
        <v>163</v>
      </c>
      <c r="P179" s="43"/>
      <c r="Q179" s="43"/>
      <c r="R179" s="43"/>
      <c r="S179" s="43"/>
      <c r="T179" s="43"/>
      <c r="U179" s="42"/>
    </row>
    <row r="180" spans="1:21" ht="21" customHeight="1" x14ac:dyDescent="0.3">
      <c r="A180" s="44" t="str">
        <f t="shared" si="8"/>
        <v>11</v>
      </c>
      <c r="B180" s="41">
        <f t="shared" si="9"/>
        <v>1</v>
      </c>
      <c r="C180" s="41" t="str">
        <f t="shared" si="10"/>
        <v/>
      </c>
      <c r="D180" s="41">
        <f t="shared" si="11"/>
        <v>1</v>
      </c>
      <c r="E180" s="62"/>
      <c r="F180" s="1" t="s">
        <v>227</v>
      </c>
      <c r="G180" s="1">
        <v>177</v>
      </c>
      <c r="H180" s="4" t="s">
        <v>688</v>
      </c>
      <c r="I180" s="4" t="str">
        <f>IF(ISERROR(VLOOKUP(H180,#REF!,9,0)),"",VLOOKUP(H180,#REF!,9,0))</f>
        <v/>
      </c>
      <c r="J180" s="42" t="s">
        <v>688</v>
      </c>
      <c r="K180" s="1" t="s">
        <v>161</v>
      </c>
      <c r="L180" s="1" t="s">
        <v>47</v>
      </c>
      <c r="M180" s="43">
        <v>2022</v>
      </c>
      <c r="N180" s="42"/>
      <c r="O180" s="43" t="s">
        <v>163</v>
      </c>
      <c r="P180" s="43"/>
      <c r="Q180" s="43"/>
      <c r="R180" s="43"/>
      <c r="S180" s="43"/>
      <c r="T180" s="43"/>
      <c r="U180" s="42"/>
    </row>
    <row r="181" spans="1:21" ht="21" customHeight="1" x14ac:dyDescent="0.3">
      <c r="A181" s="44" t="str">
        <f t="shared" si="8"/>
        <v>1</v>
      </c>
      <c r="B181" s="41">
        <f t="shared" si="9"/>
        <v>1</v>
      </c>
      <c r="C181" s="41" t="str">
        <f t="shared" si="10"/>
        <v/>
      </c>
      <c r="D181" s="41" t="str">
        <f t="shared" si="11"/>
        <v/>
      </c>
      <c r="E181" s="62"/>
      <c r="F181" s="1" t="s">
        <v>227</v>
      </c>
      <c r="G181" s="1">
        <v>178</v>
      </c>
      <c r="H181" s="4" t="s">
        <v>228</v>
      </c>
      <c r="I181" s="4" t="str">
        <f>IF(ISERROR(VLOOKUP(H181,#REF!,9,0)),"",VLOOKUP(H181,#REF!,9,0))</f>
        <v/>
      </c>
      <c r="J181" s="42"/>
      <c r="K181" s="1" t="s">
        <v>161</v>
      </c>
      <c r="L181" s="1" t="s">
        <v>522</v>
      </c>
      <c r="M181" s="43">
        <v>2022</v>
      </c>
      <c r="N181" s="42"/>
      <c r="O181" s="43" t="s">
        <v>163</v>
      </c>
      <c r="P181" s="43"/>
      <c r="Q181" s="43"/>
      <c r="R181" s="43"/>
      <c r="S181" s="43"/>
      <c r="T181" s="43"/>
      <c r="U181" s="42"/>
    </row>
    <row r="182" spans="1:21" ht="21" customHeight="1" x14ac:dyDescent="0.3">
      <c r="A182" s="44" t="str">
        <f t="shared" si="8"/>
        <v>1</v>
      </c>
      <c r="B182" s="41">
        <f t="shared" si="9"/>
        <v>1</v>
      </c>
      <c r="C182" s="41" t="str">
        <f t="shared" si="10"/>
        <v/>
      </c>
      <c r="D182" s="41" t="str">
        <f t="shared" si="11"/>
        <v/>
      </c>
      <c r="E182" s="62"/>
      <c r="F182" s="1" t="s">
        <v>227</v>
      </c>
      <c r="G182" s="1">
        <v>179</v>
      </c>
      <c r="H182" s="4" t="s">
        <v>229</v>
      </c>
      <c r="I182" s="4" t="str">
        <f>IF(ISERROR(VLOOKUP(H182,#REF!,9,0)),"",VLOOKUP(H182,#REF!,9,0))</f>
        <v/>
      </c>
      <c r="J182" s="42"/>
      <c r="K182" s="1" t="s">
        <v>161</v>
      </c>
      <c r="L182" s="1" t="s">
        <v>522</v>
      </c>
      <c r="M182" s="43">
        <v>2022</v>
      </c>
      <c r="N182" s="42"/>
      <c r="O182" s="43" t="s">
        <v>163</v>
      </c>
      <c r="P182" s="43"/>
      <c r="Q182" s="43"/>
      <c r="R182" s="43"/>
      <c r="S182" s="43"/>
      <c r="T182" s="43"/>
      <c r="U182" s="42"/>
    </row>
    <row r="183" spans="1:21" ht="21" customHeight="1" x14ac:dyDescent="0.3">
      <c r="A183" s="44" t="str">
        <f t="shared" si="8"/>
        <v>11</v>
      </c>
      <c r="B183" s="41">
        <f t="shared" si="9"/>
        <v>1</v>
      </c>
      <c r="C183" s="41" t="str">
        <f t="shared" si="10"/>
        <v/>
      </c>
      <c r="D183" s="41">
        <f t="shared" si="11"/>
        <v>1</v>
      </c>
      <c r="E183" s="62"/>
      <c r="F183" s="1" t="s">
        <v>227</v>
      </c>
      <c r="G183" s="1">
        <v>180</v>
      </c>
      <c r="H183" s="4" t="s">
        <v>689</v>
      </c>
      <c r="I183" s="4" t="str">
        <f>IF(ISERROR(VLOOKUP(H183,#REF!,9,0)),"",VLOOKUP(H183,#REF!,9,0))</f>
        <v/>
      </c>
      <c r="J183" s="42" t="s">
        <v>690</v>
      </c>
      <c r="K183" s="1" t="s">
        <v>161</v>
      </c>
      <c r="L183" s="1" t="s">
        <v>47</v>
      </c>
      <c r="M183" s="43">
        <v>2022</v>
      </c>
      <c r="N183" s="42"/>
      <c r="O183" s="43" t="s">
        <v>163</v>
      </c>
      <c r="P183" s="43"/>
      <c r="Q183" s="43"/>
      <c r="R183" s="43"/>
      <c r="S183" s="43"/>
      <c r="T183" s="43"/>
      <c r="U183" s="42" t="s">
        <v>691</v>
      </c>
    </row>
    <row r="184" spans="1:21" ht="21" customHeight="1" x14ac:dyDescent="0.3">
      <c r="A184" s="44" t="str">
        <f t="shared" si="8"/>
        <v>11</v>
      </c>
      <c r="B184" s="41">
        <f t="shared" si="9"/>
        <v>1</v>
      </c>
      <c r="C184" s="41" t="str">
        <f t="shared" si="10"/>
        <v/>
      </c>
      <c r="D184" s="41">
        <f t="shared" si="11"/>
        <v>1</v>
      </c>
      <c r="E184" s="62"/>
      <c r="F184" s="1" t="s">
        <v>227</v>
      </c>
      <c r="G184" s="1">
        <v>181</v>
      </c>
      <c r="H184" s="4" t="s">
        <v>692</v>
      </c>
      <c r="I184" s="4" t="str">
        <f>IF(ISERROR(VLOOKUP(H184,#REF!,9,0)),"",VLOOKUP(H184,#REF!,9,0))</f>
        <v/>
      </c>
      <c r="J184" s="42" t="s">
        <v>692</v>
      </c>
      <c r="K184" s="1" t="s">
        <v>161</v>
      </c>
      <c r="L184" s="1" t="s">
        <v>47</v>
      </c>
      <c r="M184" s="43">
        <v>2022</v>
      </c>
      <c r="N184" s="42"/>
      <c r="O184" s="43" t="s">
        <v>163</v>
      </c>
      <c r="P184" s="43"/>
      <c r="Q184" s="43"/>
      <c r="R184" s="43"/>
      <c r="S184" s="43"/>
      <c r="T184" s="43"/>
      <c r="U184" s="42" t="s">
        <v>691</v>
      </c>
    </row>
    <row r="185" spans="1:21" ht="21" customHeight="1" x14ac:dyDescent="0.3">
      <c r="A185" s="44" t="str">
        <f t="shared" si="8"/>
        <v>11</v>
      </c>
      <c r="B185" s="41">
        <f t="shared" si="9"/>
        <v>1</v>
      </c>
      <c r="C185" s="41" t="str">
        <f t="shared" si="10"/>
        <v/>
      </c>
      <c r="D185" s="41">
        <f t="shared" si="11"/>
        <v>1</v>
      </c>
      <c r="E185" s="62"/>
      <c r="F185" s="1" t="s">
        <v>227</v>
      </c>
      <c r="G185" s="1">
        <v>182</v>
      </c>
      <c r="H185" s="4" t="s">
        <v>693</v>
      </c>
      <c r="I185" s="4" t="str">
        <f>IF(ISERROR(VLOOKUP(H185,#REF!,9,0)),"",VLOOKUP(H185,#REF!,9,0))</f>
        <v/>
      </c>
      <c r="J185" s="42" t="s">
        <v>693</v>
      </c>
      <c r="K185" s="1" t="s">
        <v>161</v>
      </c>
      <c r="L185" s="1" t="s">
        <v>47</v>
      </c>
      <c r="M185" s="43">
        <v>2022</v>
      </c>
      <c r="N185" s="42"/>
      <c r="O185" s="43" t="s">
        <v>163</v>
      </c>
      <c r="P185" s="43"/>
      <c r="Q185" s="43"/>
      <c r="R185" s="43"/>
      <c r="S185" s="43"/>
      <c r="T185" s="43"/>
      <c r="U185" s="42" t="s">
        <v>691</v>
      </c>
    </row>
    <row r="186" spans="1:21" ht="21" customHeight="1" x14ac:dyDescent="0.3">
      <c r="A186" s="44" t="str">
        <f t="shared" si="8"/>
        <v>11</v>
      </c>
      <c r="B186" s="41">
        <f t="shared" si="9"/>
        <v>1</v>
      </c>
      <c r="C186" s="41" t="str">
        <f t="shared" si="10"/>
        <v/>
      </c>
      <c r="D186" s="41">
        <f t="shared" si="11"/>
        <v>1</v>
      </c>
      <c r="E186" s="62"/>
      <c r="F186" s="1" t="s">
        <v>227</v>
      </c>
      <c r="G186" s="1">
        <v>183</v>
      </c>
      <c r="H186" s="4" t="s">
        <v>694</v>
      </c>
      <c r="I186" s="4" t="str">
        <f>IF(ISERROR(VLOOKUP(H186,#REF!,9,0)),"",VLOOKUP(H186,#REF!,9,0))</f>
        <v/>
      </c>
      <c r="J186" s="42" t="s">
        <v>694</v>
      </c>
      <c r="K186" s="1" t="s">
        <v>161</v>
      </c>
      <c r="L186" s="1" t="s">
        <v>47</v>
      </c>
      <c r="M186" s="43">
        <v>2022</v>
      </c>
      <c r="N186" s="42"/>
      <c r="O186" s="43" t="s">
        <v>163</v>
      </c>
      <c r="P186" s="43"/>
      <c r="Q186" s="43"/>
      <c r="R186" s="43"/>
      <c r="S186" s="43"/>
      <c r="T186" s="43"/>
      <c r="U186" s="42"/>
    </row>
    <row r="187" spans="1:21" ht="21" customHeight="1" x14ac:dyDescent="0.3">
      <c r="A187" s="44" t="str">
        <f t="shared" si="8"/>
        <v>1</v>
      </c>
      <c r="B187" s="41">
        <f t="shared" si="9"/>
        <v>1</v>
      </c>
      <c r="C187" s="41" t="str">
        <f t="shared" si="10"/>
        <v/>
      </c>
      <c r="D187" s="41" t="str">
        <f t="shared" si="11"/>
        <v/>
      </c>
      <c r="E187" s="62"/>
      <c r="F187" s="1" t="s">
        <v>230</v>
      </c>
      <c r="G187" s="1">
        <v>184</v>
      </c>
      <c r="H187" s="4" t="s">
        <v>231</v>
      </c>
      <c r="I187" s="4" t="str">
        <f>IF(ISERROR(VLOOKUP(H187,#REF!,9,0)),"",VLOOKUP(H187,#REF!,9,0))</f>
        <v/>
      </c>
      <c r="J187" s="42"/>
      <c r="K187" s="1" t="s">
        <v>161</v>
      </c>
      <c r="L187" s="1" t="s">
        <v>522</v>
      </c>
      <c r="M187" s="43">
        <v>2022</v>
      </c>
      <c r="N187" s="42"/>
      <c r="O187" s="43" t="s">
        <v>70</v>
      </c>
      <c r="P187" s="43"/>
      <c r="Q187" s="43"/>
      <c r="R187" s="43"/>
      <c r="S187" s="43"/>
      <c r="T187" s="43"/>
      <c r="U187" s="42"/>
    </row>
    <row r="188" spans="1:21" ht="21" customHeight="1" x14ac:dyDescent="0.3">
      <c r="A188" s="44" t="str">
        <f t="shared" si="8"/>
        <v>1</v>
      </c>
      <c r="B188" s="41">
        <f t="shared" si="9"/>
        <v>1</v>
      </c>
      <c r="C188" s="41" t="str">
        <f t="shared" si="10"/>
        <v/>
      </c>
      <c r="D188" s="41" t="str">
        <f t="shared" si="11"/>
        <v/>
      </c>
      <c r="E188" s="62"/>
      <c r="F188" s="1" t="s">
        <v>230</v>
      </c>
      <c r="G188" s="1">
        <v>185</v>
      </c>
      <c r="H188" s="4" t="s">
        <v>234</v>
      </c>
      <c r="I188" s="4" t="str">
        <f>IF(ISERROR(VLOOKUP(H188,#REF!,9,0)),"",VLOOKUP(H188,#REF!,9,0))</f>
        <v/>
      </c>
      <c r="J188" s="42"/>
      <c r="K188" s="1" t="s">
        <v>161</v>
      </c>
      <c r="L188" s="1" t="s">
        <v>522</v>
      </c>
      <c r="M188" s="43">
        <v>2022</v>
      </c>
      <c r="N188" s="42"/>
      <c r="O188" s="43" t="s">
        <v>70</v>
      </c>
      <c r="P188" s="43"/>
      <c r="Q188" s="43"/>
      <c r="R188" s="43"/>
      <c r="S188" s="43"/>
      <c r="T188" s="43"/>
      <c r="U188" s="42"/>
    </row>
    <row r="189" spans="1:21" ht="21" customHeight="1" x14ac:dyDescent="0.3">
      <c r="A189" s="44" t="str">
        <f t="shared" si="8"/>
        <v>1</v>
      </c>
      <c r="B189" s="41" t="str">
        <f t="shared" si="9"/>
        <v/>
      </c>
      <c r="C189" s="41" t="str">
        <f t="shared" si="10"/>
        <v/>
      </c>
      <c r="D189" s="41">
        <f t="shared" si="11"/>
        <v>1</v>
      </c>
      <c r="E189" s="62"/>
      <c r="F189" s="1"/>
      <c r="G189" s="1">
        <v>186</v>
      </c>
      <c r="H189" s="4"/>
      <c r="I189" s="4" t="str">
        <f>IF(ISERROR(VLOOKUP(H189,#REF!,9,0)),"",VLOOKUP(H189,#REF!,9,0))</f>
        <v/>
      </c>
      <c r="J189" s="42" t="s">
        <v>695</v>
      </c>
      <c r="K189" s="1" t="s">
        <v>161</v>
      </c>
      <c r="L189" s="1" t="s">
        <v>47</v>
      </c>
      <c r="M189" s="43">
        <v>2022</v>
      </c>
      <c r="N189" s="42"/>
      <c r="O189" s="43" t="s">
        <v>70</v>
      </c>
      <c r="P189" s="43"/>
      <c r="Q189" s="43"/>
      <c r="R189" s="43"/>
      <c r="S189" s="43"/>
      <c r="T189" s="43"/>
      <c r="U189" s="42"/>
    </row>
    <row r="190" spans="1:21" ht="21" customHeight="1" x14ac:dyDescent="0.3">
      <c r="A190" s="44" t="str">
        <f t="shared" si="8"/>
        <v>1</v>
      </c>
      <c r="B190" s="41" t="str">
        <f t="shared" si="9"/>
        <v/>
      </c>
      <c r="C190" s="41" t="str">
        <f t="shared" si="10"/>
        <v/>
      </c>
      <c r="D190" s="41">
        <f t="shared" si="11"/>
        <v>1</v>
      </c>
      <c r="E190" s="62"/>
      <c r="F190" s="1"/>
      <c r="G190" s="1">
        <v>187</v>
      </c>
      <c r="H190" s="4"/>
      <c r="I190" s="4" t="str">
        <f>IF(ISERROR(VLOOKUP(H190,#REF!,9,0)),"",VLOOKUP(H190,#REF!,9,0))</f>
        <v/>
      </c>
      <c r="J190" s="42" t="s">
        <v>696</v>
      </c>
      <c r="K190" s="1" t="s">
        <v>161</v>
      </c>
      <c r="L190" s="1" t="s">
        <v>47</v>
      </c>
      <c r="M190" s="43">
        <v>2022</v>
      </c>
      <c r="N190" s="42"/>
      <c r="O190" s="43" t="s">
        <v>70</v>
      </c>
      <c r="P190" s="43"/>
      <c r="Q190" s="43"/>
      <c r="R190" s="43"/>
      <c r="S190" s="43"/>
      <c r="T190" s="43"/>
      <c r="U190" s="42"/>
    </row>
    <row r="191" spans="1:21" ht="21" customHeight="1" x14ac:dyDescent="0.3">
      <c r="A191" s="44" t="str">
        <f t="shared" si="8"/>
        <v/>
      </c>
      <c r="B191" s="41" t="str">
        <f t="shared" si="9"/>
        <v/>
      </c>
      <c r="C191" s="41" t="str">
        <f t="shared" si="10"/>
        <v/>
      </c>
      <c r="D191" s="41" t="str">
        <f t="shared" si="11"/>
        <v/>
      </c>
      <c r="E191" s="62"/>
      <c r="F191" s="1" t="s">
        <v>697</v>
      </c>
      <c r="G191" s="1">
        <v>188</v>
      </c>
      <c r="H191" s="4"/>
      <c r="I191" s="4" t="str">
        <f>IF(ISERROR(VLOOKUP(H191,#REF!,9,0)),"",VLOOKUP(H191,#REF!,9,0))</f>
        <v/>
      </c>
      <c r="J191" s="42"/>
      <c r="K191" s="1" t="s">
        <v>161</v>
      </c>
      <c r="L191" s="1" t="s">
        <v>47</v>
      </c>
      <c r="M191" s="43">
        <v>2022</v>
      </c>
      <c r="N191" s="42"/>
      <c r="O191" s="43" t="s">
        <v>237</v>
      </c>
      <c r="P191" s="43"/>
      <c r="Q191" s="43"/>
      <c r="R191" s="43"/>
      <c r="S191" s="43"/>
      <c r="T191" s="43"/>
      <c r="U191" s="42"/>
    </row>
    <row r="192" spans="1:21" ht="21" customHeight="1" x14ac:dyDescent="0.3">
      <c r="A192" s="44" t="str">
        <f t="shared" si="8"/>
        <v>11</v>
      </c>
      <c r="B192" s="41">
        <f t="shared" si="9"/>
        <v>1</v>
      </c>
      <c r="C192" s="41" t="str">
        <f t="shared" si="10"/>
        <v/>
      </c>
      <c r="D192" s="41">
        <f t="shared" si="11"/>
        <v>1</v>
      </c>
      <c r="E192" s="62"/>
      <c r="F192" s="1"/>
      <c r="G192" s="1">
        <v>189</v>
      </c>
      <c r="H192" s="4" t="s">
        <v>698</v>
      </c>
      <c r="I192" s="4" t="str">
        <f>IF(ISERROR(VLOOKUP(H192,#REF!,9,0)),"",VLOOKUP(H192,#REF!,9,0))</f>
        <v/>
      </c>
      <c r="J192" s="42" t="s">
        <v>698</v>
      </c>
      <c r="K192" s="1" t="s">
        <v>161</v>
      </c>
      <c r="L192" s="1" t="s">
        <v>47</v>
      </c>
      <c r="M192" s="43">
        <v>2022</v>
      </c>
      <c r="N192" s="42"/>
      <c r="O192" s="43" t="s">
        <v>237</v>
      </c>
      <c r="P192" s="43"/>
      <c r="Q192" s="43"/>
      <c r="R192" s="43"/>
      <c r="S192" s="43"/>
      <c r="T192" s="43"/>
      <c r="U192" s="42"/>
    </row>
    <row r="193" spans="1:21" ht="21" customHeight="1" x14ac:dyDescent="0.3">
      <c r="A193" s="44" t="str">
        <f t="shared" si="8"/>
        <v>1</v>
      </c>
      <c r="B193" s="41" t="str">
        <f t="shared" si="9"/>
        <v/>
      </c>
      <c r="C193" s="41" t="str">
        <f t="shared" si="10"/>
        <v/>
      </c>
      <c r="D193" s="41">
        <f t="shared" si="11"/>
        <v>1</v>
      </c>
      <c r="E193" s="62"/>
      <c r="F193" s="1"/>
      <c r="G193" s="1">
        <v>190</v>
      </c>
      <c r="H193" s="4"/>
      <c r="I193" s="4" t="str">
        <f>IF(ISERROR(VLOOKUP(H193,#REF!,9,0)),"",VLOOKUP(H193,#REF!,9,0))</f>
        <v/>
      </c>
      <c r="J193" s="42" t="s">
        <v>699</v>
      </c>
      <c r="K193" s="1" t="s">
        <v>161</v>
      </c>
      <c r="L193" s="1" t="s">
        <v>47</v>
      </c>
      <c r="M193" s="43">
        <v>2022</v>
      </c>
      <c r="N193" s="42"/>
      <c r="O193" s="43" t="s">
        <v>237</v>
      </c>
      <c r="P193" s="43"/>
      <c r="Q193" s="43"/>
      <c r="R193" s="43"/>
      <c r="S193" s="43"/>
      <c r="T193" s="43"/>
      <c r="U193" s="42"/>
    </row>
    <row r="194" spans="1:21" ht="21" customHeight="1" x14ac:dyDescent="0.3">
      <c r="A194" s="44" t="str">
        <f t="shared" si="8"/>
        <v>1</v>
      </c>
      <c r="B194" s="41" t="str">
        <f t="shared" si="9"/>
        <v/>
      </c>
      <c r="C194" s="41" t="str">
        <f t="shared" si="10"/>
        <v/>
      </c>
      <c r="D194" s="41">
        <f t="shared" si="11"/>
        <v>1</v>
      </c>
      <c r="E194" s="62"/>
      <c r="F194" s="1"/>
      <c r="G194" s="1">
        <v>191</v>
      </c>
      <c r="H194" s="4"/>
      <c r="I194" s="4" t="str">
        <f>IF(ISERROR(VLOOKUP(H194,#REF!,9,0)),"",VLOOKUP(H194,#REF!,9,0))</f>
        <v/>
      </c>
      <c r="J194" s="42" t="s">
        <v>700</v>
      </c>
      <c r="K194" s="1" t="s">
        <v>161</v>
      </c>
      <c r="L194" s="1" t="s">
        <v>47</v>
      </c>
      <c r="M194" s="43">
        <v>2022</v>
      </c>
      <c r="N194" s="42" t="s">
        <v>701</v>
      </c>
      <c r="O194" s="43" t="s">
        <v>237</v>
      </c>
      <c r="P194" s="43"/>
      <c r="Q194" s="43"/>
      <c r="R194" s="43"/>
      <c r="S194" s="43"/>
      <c r="T194" s="43"/>
      <c r="U194" s="42"/>
    </row>
    <row r="195" spans="1:21" ht="21" customHeight="1" x14ac:dyDescent="0.3">
      <c r="A195" s="44" t="str">
        <f t="shared" si="8"/>
        <v>1</v>
      </c>
      <c r="B195" s="41" t="str">
        <f t="shared" si="9"/>
        <v/>
      </c>
      <c r="C195" s="41" t="str">
        <f t="shared" si="10"/>
        <v/>
      </c>
      <c r="D195" s="41">
        <f t="shared" si="11"/>
        <v>1</v>
      </c>
      <c r="E195" s="62"/>
      <c r="F195" s="1"/>
      <c r="G195" s="1">
        <v>192</v>
      </c>
      <c r="H195" s="4"/>
      <c r="I195" s="4" t="str">
        <f>IF(ISERROR(VLOOKUP(H195,#REF!,9,0)),"",VLOOKUP(H195,#REF!,9,0))</f>
        <v/>
      </c>
      <c r="J195" s="42" t="s">
        <v>702</v>
      </c>
      <c r="K195" s="1" t="s">
        <v>161</v>
      </c>
      <c r="L195" s="1" t="s">
        <v>47</v>
      </c>
      <c r="M195" s="43">
        <v>2022</v>
      </c>
      <c r="N195" s="42"/>
      <c r="O195" s="43" t="s">
        <v>237</v>
      </c>
      <c r="P195" s="43"/>
      <c r="Q195" s="43"/>
      <c r="R195" s="43"/>
      <c r="S195" s="43"/>
      <c r="T195" s="43"/>
      <c r="U195" s="42"/>
    </row>
    <row r="196" spans="1:21" ht="21" customHeight="1" x14ac:dyDescent="0.3">
      <c r="A196" s="44" t="str">
        <f t="shared" ref="A196:A259" si="12">B196&amp;D196</f>
        <v>1</v>
      </c>
      <c r="B196" s="41" t="str">
        <f t="shared" ref="B196:B259" si="13">IF(H196="","",1)</f>
        <v/>
      </c>
      <c r="C196" s="41" t="str">
        <f t="shared" ref="C196:C259" si="14">IF(I196="","",1)</f>
        <v/>
      </c>
      <c r="D196" s="41">
        <f t="shared" ref="D196:D259" si="15">IF(J196="","",1)</f>
        <v>1</v>
      </c>
      <c r="E196" s="62"/>
      <c r="F196" s="1"/>
      <c r="G196" s="1">
        <v>193</v>
      </c>
      <c r="H196" s="4"/>
      <c r="I196" s="4" t="str">
        <f>IF(ISERROR(VLOOKUP(H196,#REF!,9,0)),"",VLOOKUP(H196,#REF!,9,0))</f>
        <v/>
      </c>
      <c r="J196" s="42" t="s">
        <v>703</v>
      </c>
      <c r="K196" s="1" t="s">
        <v>161</v>
      </c>
      <c r="L196" s="1" t="s">
        <v>47</v>
      </c>
      <c r="M196" s="43">
        <v>2022</v>
      </c>
      <c r="N196" s="42"/>
      <c r="O196" s="43" t="s">
        <v>237</v>
      </c>
      <c r="P196" s="43"/>
      <c r="Q196" s="43"/>
      <c r="R196" s="43"/>
      <c r="S196" s="43"/>
      <c r="T196" s="43"/>
      <c r="U196" s="42"/>
    </row>
    <row r="197" spans="1:21" ht="21" customHeight="1" x14ac:dyDescent="0.3">
      <c r="A197" s="44" t="str">
        <f t="shared" si="12"/>
        <v>11</v>
      </c>
      <c r="B197" s="41">
        <f t="shared" si="13"/>
        <v>1</v>
      </c>
      <c r="C197" s="41" t="str">
        <f t="shared" si="14"/>
        <v/>
      </c>
      <c r="D197" s="41">
        <f t="shared" si="15"/>
        <v>1</v>
      </c>
      <c r="E197" s="62"/>
      <c r="F197" s="1"/>
      <c r="G197" s="1">
        <v>194</v>
      </c>
      <c r="H197" s="4" t="s">
        <v>704</v>
      </c>
      <c r="I197" s="4" t="str">
        <f>IF(ISERROR(VLOOKUP(H197,#REF!,9,0)),"",VLOOKUP(H197,#REF!,9,0))</f>
        <v/>
      </c>
      <c r="J197" s="42" t="s">
        <v>704</v>
      </c>
      <c r="K197" s="1" t="s">
        <v>161</v>
      </c>
      <c r="L197" s="1" t="s">
        <v>47</v>
      </c>
      <c r="M197" s="43">
        <v>2022</v>
      </c>
      <c r="N197" s="42" t="s">
        <v>705</v>
      </c>
      <c r="O197" s="43" t="s">
        <v>163</v>
      </c>
      <c r="P197" s="43"/>
      <c r="Q197" s="43"/>
      <c r="R197" s="43"/>
      <c r="S197" s="43"/>
      <c r="T197" s="43"/>
      <c r="U197" s="42"/>
    </row>
    <row r="198" spans="1:21" ht="21" customHeight="1" x14ac:dyDescent="0.3">
      <c r="A198" s="44" t="str">
        <f t="shared" si="12"/>
        <v>11</v>
      </c>
      <c r="B198" s="41">
        <f t="shared" si="13"/>
        <v>1</v>
      </c>
      <c r="C198" s="41" t="str">
        <f t="shared" si="14"/>
        <v/>
      </c>
      <c r="D198" s="41">
        <f t="shared" si="15"/>
        <v>1</v>
      </c>
      <c r="E198" s="62"/>
      <c r="F198" s="1"/>
      <c r="G198" s="1">
        <v>195</v>
      </c>
      <c r="H198" s="4" t="s">
        <v>706</v>
      </c>
      <c r="I198" s="4" t="str">
        <f>IF(ISERROR(VLOOKUP(H198,#REF!,9,0)),"",VLOOKUP(H198,#REF!,9,0))</f>
        <v/>
      </c>
      <c r="J198" s="42" t="s">
        <v>707</v>
      </c>
      <c r="K198" s="1" t="s">
        <v>161</v>
      </c>
      <c r="L198" s="1" t="s">
        <v>47</v>
      </c>
      <c r="M198" s="43">
        <v>2022</v>
      </c>
      <c r="N198" s="42"/>
      <c r="O198" s="43" t="s">
        <v>163</v>
      </c>
      <c r="P198" s="43"/>
      <c r="Q198" s="43"/>
      <c r="R198" s="43"/>
      <c r="S198" s="43"/>
      <c r="T198" s="43"/>
      <c r="U198" s="42"/>
    </row>
    <row r="199" spans="1:21" ht="21" customHeight="1" x14ac:dyDescent="0.3">
      <c r="A199" s="44" t="str">
        <f t="shared" si="12"/>
        <v>11</v>
      </c>
      <c r="B199" s="41">
        <f t="shared" si="13"/>
        <v>1</v>
      </c>
      <c r="C199" s="41" t="str">
        <f t="shared" si="14"/>
        <v/>
      </c>
      <c r="D199" s="41">
        <f t="shared" si="15"/>
        <v>1</v>
      </c>
      <c r="E199" s="62"/>
      <c r="F199" s="1"/>
      <c r="G199" s="1">
        <v>196</v>
      </c>
      <c r="H199" s="4" t="s">
        <v>708</v>
      </c>
      <c r="I199" s="4" t="str">
        <f>IF(ISERROR(VLOOKUP(H199,#REF!,9,0)),"",VLOOKUP(H199,#REF!,9,0))</f>
        <v/>
      </c>
      <c r="J199" s="42" t="s">
        <v>709</v>
      </c>
      <c r="K199" s="1" t="s">
        <v>161</v>
      </c>
      <c r="L199" s="1" t="s">
        <v>47</v>
      </c>
      <c r="M199" s="43">
        <v>2022</v>
      </c>
      <c r="N199" s="42"/>
      <c r="O199" s="43" t="s">
        <v>163</v>
      </c>
      <c r="P199" s="43"/>
      <c r="Q199" s="43"/>
      <c r="R199" s="43"/>
      <c r="S199" s="43"/>
      <c r="T199" s="43"/>
      <c r="U199" s="42"/>
    </row>
    <row r="200" spans="1:21" ht="21" customHeight="1" x14ac:dyDescent="0.3">
      <c r="A200" s="44" t="str">
        <f t="shared" si="12"/>
        <v>11</v>
      </c>
      <c r="B200" s="41">
        <f t="shared" si="13"/>
        <v>1</v>
      </c>
      <c r="C200" s="41" t="str">
        <f t="shared" si="14"/>
        <v/>
      </c>
      <c r="D200" s="41">
        <f t="shared" si="15"/>
        <v>1</v>
      </c>
      <c r="E200" s="62"/>
      <c r="F200" s="1"/>
      <c r="G200" s="1">
        <v>197</v>
      </c>
      <c r="H200" s="4" t="s">
        <v>710</v>
      </c>
      <c r="I200" s="4" t="str">
        <f>IF(ISERROR(VLOOKUP(H200,#REF!,9,0)),"",VLOOKUP(H200,#REF!,9,0))</f>
        <v/>
      </c>
      <c r="J200" s="42" t="s">
        <v>711</v>
      </c>
      <c r="K200" s="1" t="s">
        <v>161</v>
      </c>
      <c r="L200" s="1" t="s">
        <v>47</v>
      </c>
      <c r="M200" s="43">
        <v>2022</v>
      </c>
      <c r="N200" s="42"/>
      <c r="O200" s="43" t="s">
        <v>163</v>
      </c>
      <c r="P200" s="43"/>
      <c r="Q200" s="43"/>
      <c r="R200" s="43"/>
      <c r="S200" s="43"/>
      <c r="T200" s="43"/>
      <c r="U200" s="42"/>
    </row>
    <row r="201" spans="1:21" ht="21" customHeight="1" x14ac:dyDescent="0.3">
      <c r="A201" s="44" t="str">
        <f t="shared" si="12"/>
        <v>11</v>
      </c>
      <c r="B201" s="41">
        <f t="shared" si="13"/>
        <v>1</v>
      </c>
      <c r="C201" s="41" t="str">
        <f t="shared" si="14"/>
        <v/>
      </c>
      <c r="D201" s="41">
        <f t="shared" si="15"/>
        <v>1</v>
      </c>
      <c r="E201" s="62"/>
      <c r="F201" s="1"/>
      <c r="G201" s="1">
        <v>198</v>
      </c>
      <c r="H201" s="4" t="s">
        <v>712</v>
      </c>
      <c r="I201" s="4" t="str">
        <f>IF(ISERROR(VLOOKUP(H201,#REF!,9,0)),"",VLOOKUP(H201,#REF!,9,0))</f>
        <v/>
      </c>
      <c r="J201" s="42" t="s">
        <v>713</v>
      </c>
      <c r="K201" s="1" t="s">
        <v>161</v>
      </c>
      <c r="L201" s="1" t="s">
        <v>47</v>
      </c>
      <c r="M201" s="43">
        <v>2022</v>
      </c>
      <c r="N201" s="42"/>
      <c r="O201" s="43" t="s">
        <v>163</v>
      </c>
      <c r="P201" s="43"/>
      <c r="Q201" s="43"/>
      <c r="R201" s="43"/>
      <c r="S201" s="43"/>
      <c r="T201" s="43"/>
      <c r="U201" s="42"/>
    </row>
    <row r="202" spans="1:21" ht="21" customHeight="1" x14ac:dyDescent="0.3">
      <c r="A202" s="44" t="str">
        <f t="shared" si="12"/>
        <v>11</v>
      </c>
      <c r="B202" s="41">
        <f t="shared" si="13"/>
        <v>1</v>
      </c>
      <c r="C202" s="41" t="str">
        <f t="shared" si="14"/>
        <v/>
      </c>
      <c r="D202" s="41">
        <f t="shared" si="15"/>
        <v>1</v>
      </c>
      <c r="E202" s="62"/>
      <c r="F202" s="1"/>
      <c r="G202" s="1">
        <v>199</v>
      </c>
      <c r="H202" s="4" t="s">
        <v>714</v>
      </c>
      <c r="I202" s="4" t="str">
        <f>IF(ISERROR(VLOOKUP(H202,#REF!,9,0)),"",VLOOKUP(H202,#REF!,9,0))</f>
        <v/>
      </c>
      <c r="J202" s="42" t="s">
        <v>715</v>
      </c>
      <c r="K202" s="1" t="s">
        <v>161</v>
      </c>
      <c r="L202" s="1" t="s">
        <v>47</v>
      </c>
      <c r="M202" s="43">
        <v>2022</v>
      </c>
      <c r="N202" s="42"/>
      <c r="O202" s="43" t="s">
        <v>163</v>
      </c>
      <c r="P202" s="43"/>
      <c r="Q202" s="43"/>
      <c r="R202" s="43"/>
      <c r="S202" s="43"/>
      <c r="T202" s="43"/>
      <c r="U202" s="42"/>
    </row>
    <row r="203" spans="1:21" ht="21" customHeight="1" x14ac:dyDescent="0.3">
      <c r="A203" s="44" t="str">
        <f t="shared" si="12"/>
        <v>1</v>
      </c>
      <c r="B203" s="41">
        <f t="shared" si="13"/>
        <v>1</v>
      </c>
      <c r="C203" s="41" t="str">
        <f t="shared" si="14"/>
        <v/>
      </c>
      <c r="D203" s="41" t="str">
        <f t="shared" si="15"/>
        <v/>
      </c>
      <c r="E203" s="62"/>
      <c r="F203" s="1"/>
      <c r="G203" s="1">
        <v>200</v>
      </c>
      <c r="H203" s="4" t="s">
        <v>236</v>
      </c>
      <c r="I203" s="4" t="str">
        <f>IF(ISERROR(VLOOKUP(H203,#REF!,9,0)),"",VLOOKUP(H203,#REF!,9,0))</f>
        <v/>
      </c>
      <c r="J203" s="42"/>
      <c r="K203" s="1" t="s">
        <v>161</v>
      </c>
      <c r="L203" s="1" t="s">
        <v>522</v>
      </c>
      <c r="M203" s="43">
        <v>2022</v>
      </c>
      <c r="N203" s="42"/>
      <c r="O203" s="43" t="s">
        <v>163</v>
      </c>
      <c r="P203" s="43"/>
      <c r="Q203" s="43"/>
      <c r="R203" s="43"/>
      <c r="S203" s="43"/>
      <c r="T203" s="43"/>
      <c r="U203" s="42"/>
    </row>
    <row r="204" spans="1:21" ht="21" customHeight="1" x14ac:dyDescent="0.3">
      <c r="A204" s="44" t="str">
        <f t="shared" si="12"/>
        <v>11</v>
      </c>
      <c r="B204" s="41">
        <f t="shared" si="13"/>
        <v>1</v>
      </c>
      <c r="C204" s="41" t="str">
        <f t="shared" si="14"/>
        <v/>
      </c>
      <c r="D204" s="41">
        <f t="shared" si="15"/>
        <v>1</v>
      </c>
      <c r="E204" s="62" t="s">
        <v>238</v>
      </c>
      <c r="F204" s="1"/>
      <c r="G204" s="1">
        <v>201</v>
      </c>
      <c r="H204" s="4" t="s">
        <v>716</v>
      </c>
      <c r="I204" s="4" t="str">
        <f>IF(ISERROR(VLOOKUP(H204,#REF!,9,0)),"",VLOOKUP(H204,#REF!,9,0))</f>
        <v/>
      </c>
      <c r="J204" s="42" t="s">
        <v>716</v>
      </c>
      <c r="K204" s="1" t="s">
        <v>239</v>
      </c>
      <c r="L204" s="1" t="s">
        <v>47</v>
      </c>
      <c r="M204" s="43">
        <v>2022</v>
      </c>
      <c r="N204" s="42" t="s">
        <v>717</v>
      </c>
      <c r="O204" s="43" t="s">
        <v>163</v>
      </c>
      <c r="P204" s="43"/>
      <c r="Q204" s="43"/>
      <c r="R204" s="43"/>
      <c r="S204" s="43"/>
      <c r="T204" s="43"/>
      <c r="U204" s="42"/>
    </row>
    <row r="205" spans="1:21" ht="21" customHeight="1" x14ac:dyDescent="0.3">
      <c r="A205" s="44" t="str">
        <f t="shared" si="12"/>
        <v>11</v>
      </c>
      <c r="B205" s="41">
        <f t="shared" si="13"/>
        <v>1</v>
      </c>
      <c r="C205" s="41" t="str">
        <f t="shared" si="14"/>
        <v/>
      </c>
      <c r="D205" s="41">
        <f t="shared" si="15"/>
        <v>1</v>
      </c>
      <c r="E205" s="62"/>
      <c r="F205" s="1"/>
      <c r="G205" s="1">
        <v>202</v>
      </c>
      <c r="H205" s="4" t="s">
        <v>718</v>
      </c>
      <c r="I205" s="4" t="str">
        <f>IF(ISERROR(VLOOKUP(H205,#REF!,9,0)),"",VLOOKUP(H205,#REF!,9,0))</f>
        <v/>
      </c>
      <c r="J205" s="42" t="s">
        <v>718</v>
      </c>
      <c r="K205" s="1" t="s">
        <v>239</v>
      </c>
      <c r="L205" s="1" t="s">
        <v>47</v>
      </c>
      <c r="M205" s="43">
        <v>2022</v>
      </c>
      <c r="N205" s="42" t="s">
        <v>719</v>
      </c>
      <c r="O205" s="43" t="s">
        <v>163</v>
      </c>
      <c r="P205" s="43"/>
      <c r="Q205" s="43"/>
      <c r="R205" s="43"/>
      <c r="S205" s="43"/>
      <c r="T205" s="43"/>
      <c r="U205" s="42"/>
    </row>
    <row r="206" spans="1:21" ht="21" customHeight="1" x14ac:dyDescent="0.3">
      <c r="A206" s="44" t="str">
        <f t="shared" si="12"/>
        <v>11</v>
      </c>
      <c r="B206" s="41">
        <f t="shared" si="13"/>
        <v>1</v>
      </c>
      <c r="C206" s="41" t="str">
        <f t="shared" si="14"/>
        <v/>
      </c>
      <c r="D206" s="41">
        <f t="shared" si="15"/>
        <v>1</v>
      </c>
      <c r="E206" s="62"/>
      <c r="F206" s="1"/>
      <c r="G206" s="1">
        <v>203</v>
      </c>
      <c r="H206" s="4" t="s">
        <v>720</v>
      </c>
      <c r="I206" s="4" t="str">
        <f>IF(ISERROR(VLOOKUP(H206,#REF!,9,0)),"",VLOOKUP(H206,#REF!,9,0))</f>
        <v/>
      </c>
      <c r="J206" s="42" t="s">
        <v>716</v>
      </c>
      <c r="K206" s="1" t="s">
        <v>239</v>
      </c>
      <c r="L206" s="1" t="s">
        <v>47</v>
      </c>
      <c r="M206" s="43">
        <v>2022</v>
      </c>
      <c r="N206" s="42" t="s">
        <v>717</v>
      </c>
      <c r="O206" s="43" t="s">
        <v>163</v>
      </c>
      <c r="P206" s="43"/>
      <c r="Q206" s="43"/>
      <c r="R206" s="43"/>
      <c r="S206" s="43"/>
      <c r="T206" s="43"/>
      <c r="U206" s="42"/>
    </row>
    <row r="207" spans="1:21" ht="21" customHeight="1" x14ac:dyDescent="0.3">
      <c r="A207" s="44" t="str">
        <f t="shared" si="12"/>
        <v>1</v>
      </c>
      <c r="B207" s="41">
        <f t="shared" si="13"/>
        <v>1</v>
      </c>
      <c r="C207" s="41" t="str">
        <f t="shared" si="14"/>
        <v/>
      </c>
      <c r="D207" s="41" t="str">
        <f t="shared" si="15"/>
        <v/>
      </c>
      <c r="E207" s="62"/>
      <c r="F207" s="1"/>
      <c r="G207" s="1">
        <v>204</v>
      </c>
      <c r="H207" s="4" t="s">
        <v>240</v>
      </c>
      <c r="I207" s="4" t="str">
        <f>IF(ISERROR(VLOOKUP(H207,#REF!,9,0)),"",VLOOKUP(H207,#REF!,9,0))</f>
        <v/>
      </c>
      <c r="J207" s="42"/>
      <c r="K207" s="1" t="s">
        <v>239</v>
      </c>
      <c r="L207" s="1" t="s">
        <v>522</v>
      </c>
      <c r="M207" s="43">
        <v>2022</v>
      </c>
      <c r="N207" s="42"/>
      <c r="O207" s="43" t="s">
        <v>163</v>
      </c>
      <c r="P207" s="43"/>
      <c r="Q207" s="43"/>
      <c r="R207" s="43"/>
      <c r="S207" s="43"/>
      <c r="T207" s="43"/>
      <c r="U207" s="42"/>
    </row>
    <row r="208" spans="1:21" ht="21" customHeight="1" x14ac:dyDescent="0.3">
      <c r="A208" s="44" t="str">
        <f t="shared" si="12"/>
        <v>1</v>
      </c>
      <c r="B208" s="41">
        <f t="shared" si="13"/>
        <v>1</v>
      </c>
      <c r="C208" s="41" t="str">
        <f t="shared" si="14"/>
        <v/>
      </c>
      <c r="D208" s="41" t="str">
        <f t="shared" si="15"/>
        <v/>
      </c>
      <c r="E208" s="62"/>
      <c r="F208" s="1"/>
      <c r="G208" s="1">
        <v>205</v>
      </c>
      <c r="H208" s="4" t="s">
        <v>242</v>
      </c>
      <c r="I208" s="4" t="str">
        <f>IF(ISERROR(VLOOKUP(H208,#REF!,9,0)),"",VLOOKUP(H208,#REF!,9,0))</f>
        <v/>
      </c>
      <c r="J208" s="42"/>
      <c r="K208" s="1" t="s">
        <v>239</v>
      </c>
      <c r="L208" s="1" t="s">
        <v>522</v>
      </c>
      <c r="M208" s="43">
        <v>2022</v>
      </c>
      <c r="N208" s="42"/>
      <c r="O208" s="43" t="s">
        <v>163</v>
      </c>
      <c r="P208" s="43"/>
      <c r="Q208" s="43"/>
      <c r="R208" s="43"/>
      <c r="S208" s="43"/>
      <c r="T208" s="43"/>
      <c r="U208" s="42"/>
    </row>
    <row r="209" spans="1:21" ht="21" customHeight="1" x14ac:dyDescent="0.3">
      <c r="A209" s="44" t="str">
        <f t="shared" si="12"/>
        <v>11</v>
      </c>
      <c r="B209" s="41">
        <f t="shared" si="13"/>
        <v>1</v>
      </c>
      <c r="C209" s="41" t="str">
        <f t="shared" si="14"/>
        <v/>
      </c>
      <c r="D209" s="41">
        <f t="shared" si="15"/>
        <v>1</v>
      </c>
      <c r="E209" s="62"/>
      <c r="F209" s="1"/>
      <c r="G209" s="1">
        <v>206</v>
      </c>
      <c r="H209" s="4" t="s">
        <v>721</v>
      </c>
      <c r="I209" s="4" t="str">
        <f>IF(ISERROR(VLOOKUP(H209,#REF!,9,0)),"",VLOOKUP(H209,#REF!,9,0))</f>
        <v/>
      </c>
      <c r="J209" s="42" t="s">
        <v>721</v>
      </c>
      <c r="K209" s="1" t="s">
        <v>239</v>
      </c>
      <c r="L209" s="1" t="s">
        <v>47</v>
      </c>
      <c r="M209" s="43">
        <v>2022</v>
      </c>
      <c r="N209" s="42" t="s">
        <v>722</v>
      </c>
      <c r="O209" s="43" t="s">
        <v>163</v>
      </c>
      <c r="P209" s="43"/>
      <c r="Q209" s="43"/>
      <c r="R209" s="43"/>
      <c r="S209" s="43"/>
      <c r="T209" s="43"/>
      <c r="U209" s="42"/>
    </row>
    <row r="210" spans="1:21" ht="21" customHeight="1" x14ac:dyDescent="0.3">
      <c r="A210" s="44" t="str">
        <f t="shared" si="12"/>
        <v>1</v>
      </c>
      <c r="B210" s="41">
        <f t="shared" si="13"/>
        <v>1</v>
      </c>
      <c r="C210" s="41" t="str">
        <f t="shared" si="14"/>
        <v/>
      </c>
      <c r="D210" s="41" t="str">
        <f t="shared" si="15"/>
        <v/>
      </c>
      <c r="E210" s="62"/>
      <c r="F210" s="1"/>
      <c r="G210" s="1">
        <v>207</v>
      </c>
      <c r="H210" s="4" t="s">
        <v>244</v>
      </c>
      <c r="I210" s="4" t="str">
        <f>IF(ISERROR(VLOOKUP(H210,#REF!,9,0)),"",VLOOKUP(H210,#REF!,9,0))</f>
        <v/>
      </c>
      <c r="J210" s="42"/>
      <c r="K210" s="1" t="s">
        <v>239</v>
      </c>
      <c r="L210" s="1" t="s">
        <v>522</v>
      </c>
      <c r="M210" s="43">
        <v>2022</v>
      </c>
      <c r="N210" s="42"/>
      <c r="O210" s="43" t="s">
        <v>163</v>
      </c>
      <c r="P210" s="43"/>
      <c r="Q210" s="43"/>
      <c r="R210" s="43"/>
      <c r="S210" s="43"/>
      <c r="T210" s="43"/>
      <c r="U210" s="42"/>
    </row>
    <row r="211" spans="1:21" ht="21" customHeight="1" x14ac:dyDescent="0.3">
      <c r="A211" s="44" t="str">
        <f t="shared" si="12"/>
        <v>11</v>
      </c>
      <c r="B211" s="41">
        <f t="shared" si="13"/>
        <v>1</v>
      </c>
      <c r="C211" s="41" t="str">
        <f t="shared" si="14"/>
        <v/>
      </c>
      <c r="D211" s="41">
        <f t="shared" si="15"/>
        <v>1</v>
      </c>
      <c r="E211" s="62"/>
      <c r="F211" s="1"/>
      <c r="G211" s="1">
        <v>208</v>
      </c>
      <c r="H211" s="4" t="s">
        <v>723</v>
      </c>
      <c r="I211" s="4" t="str">
        <f>IF(ISERROR(VLOOKUP(H211,#REF!,9,0)),"",VLOOKUP(H211,#REF!,9,0))</f>
        <v/>
      </c>
      <c r="J211" s="42" t="s">
        <v>724</v>
      </c>
      <c r="K211" s="1" t="s">
        <v>239</v>
      </c>
      <c r="L211" s="1" t="s">
        <v>47</v>
      </c>
      <c r="M211" s="43">
        <v>2022</v>
      </c>
      <c r="N211" s="42"/>
      <c r="O211" s="43" t="s">
        <v>163</v>
      </c>
      <c r="P211" s="43"/>
      <c r="Q211" s="43"/>
      <c r="R211" s="43"/>
      <c r="S211" s="43"/>
      <c r="T211" s="43"/>
      <c r="U211" s="42"/>
    </row>
    <row r="212" spans="1:21" ht="21" customHeight="1" x14ac:dyDescent="0.3">
      <c r="A212" s="44" t="str">
        <f t="shared" si="12"/>
        <v>11</v>
      </c>
      <c r="B212" s="41">
        <f t="shared" si="13"/>
        <v>1</v>
      </c>
      <c r="C212" s="41" t="str">
        <f t="shared" si="14"/>
        <v/>
      </c>
      <c r="D212" s="41">
        <f t="shared" si="15"/>
        <v>1</v>
      </c>
      <c r="E212" s="62"/>
      <c r="F212" s="1"/>
      <c r="G212" s="1">
        <v>209</v>
      </c>
      <c r="H212" s="4" t="s">
        <v>725</v>
      </c>
      <c r="I212" s="4" t="str">
        <f>IF(ISERROR(VLOOKUP(H212,#REF!,9,0)),"",VLOOKUP(H212,#REF!,9,0))</f>
        <v/>
      </c>
      <c r="J212" s="42" t="s">
        <v>725</v>
      </c>
      <c r="K212" s="1" t="s">
        <v>239</v>
      </c>
      <c r="L212" s="1" t="s">
        <v>47</v>
      </c>
      <c r="M212" s="43">
        <v>2022</v>
      </c>
      <c r="N212" s="42"/>
      <c r="O212" s="43" t="s">
        <v>163</v>
      </c>
      <c r="P212" s="43"/>
      <c r="Q212" s="43"/>
      <c r="R212" s="43"/>
      <c r="S212" s="43"/>
      <c r="T212" s="43"/>
      <c r="U212" s="42"/>
    </row>
    <row r="213" spans="1:21" ht="21" customHeight="1" x14ac:dyDescent="0.3">
      <c r="A213" s="44" t="str">
        <f t="shared" si="12"/>
        <v>11</v>
      </c>
      <c r="B213" s="41">
        <f t="shared" si="13"/>
        <v>1</v>
      </c>
      <c r="C213" s="41" t="str">
        <f t="shared" si="14"/>
        <v/>
      </c>
      <c r="D213" s="41">
        <f t="shared" si="15"/>
        <v>1</v>
      </c>
      <c r="E213" s="62"/>
      <c r="F213" s="1"/>
      <c r="G213" s="1">
        <v>210</v>
      </c>
      <c r="H213" s="4" t="s">
        <v>726</v>
      </c>
      <c r="I213" s="4" t="str">
        <f>IF(ISERROR(VLOOKUP(H213,#REF!,9,0)),"",VLOOKUP(H213,#REF!,9,0))</f>
        <v/>
      </c>
      <c r="J213" s="42" t="s">
        <v>727</v>
      </c>
      <c r="K213" s="1" t="s">
        <v>239</v>
      </c>
      <c r="L213" s="1" t="s">
        <v>47</v>
      </c>
      <c r="M213" s="43">
        <v>2022</v>
      </c>
      <c r="N213" s="42"/>
      <c r="O213" s="43" t="s">
        <v>163</v>
      </c>
      <c r="P213" s="43"/>
      <c r="Q213" s="43"/>
      <c r="R213" s="43"/>
      <c r="S213" s="43"/>
      <c r="T213" s="43"/>
      <c r="U213" s="42"/>
    </row>
    <row r="214" spans="1:21" ht="21" customHeight="1" x14ac:dyDescent="0.3">
      <c r="A214" s="44" t="str">
        <f t="shared" si="12"/>
        <v>1</v>
      </c>
      <c r="B214" s="41" t="str">
        <f t="shared" si="13"/>
        <v/>
      </c>
      <c r="C214" s="41" t="str">
        <f t="shared" si="14"/>
        <v/>
      </c>
      <c r="D214" s="41">
        <f t="shared" si="15"/>
        <v>1</v>
      </c>
      <c r="E214" s="62"/>
      <c r="F214" s="1"/>
      <c r="G214" s="1">
        <v>211</v>
      </c>
      <c r="H214" s="4"/>
      <c r="I214" s="4" t="str">
        <f>IF(ISERROR(VLOOKUP(H214,#REF!,9,0)),"",VLOOKUP(H214,#REF!,9,0))</f>
        <v/>
      </c>
      <c r="J214" s="42" t="s">
        <v>728</v>
      </c>
      <c r="K214" s="1" t="s">
        <v>239</v>
      </c>
      <c r="L214" s="1" t="s">
        <v>47</v>
      </c>
      <c r="M214" s="43">
        <v>2022</v>
      </c>
      <c r="N214" s="42"/>
      <c r="O214" s="43" t="s">
        <v>163</v>
      </c>
      <c r="P214" s="43"/>
      <c r="Q214" s="43"/>
      <c r="R214" s="43"/>
      <c r="S214" s="43"/>
      <c r="T214" s="43"/>
      <c r="U214" s="42"/>
    </row>
    <row r="215" spans="1:21" ht="21" customHeight="1" x14ac:dyDescent="0.3">
      <c r="A215" s="44" t="str">
        <f t="shared" si="12"/>
        <v>1</v>
      </c>
      <c r="B215" s="41" t="str">
        <f t="shared" si="13"/>
        <v/>
      </c>
      <c r="C215" s="41" t="str">
        <f t="shared" si="14"/>
        <v/>
      </c>
      <c r="D215" s="41">
        <f t="shared" si="15"/>
        <v>1</v>
      </c>
      <c r="E215" s="62"/>
      <c r="F215" s="1"/>
      <c r="G215" s="1">
        <v>212</v>
      </c>
      <c r="H215" s="4"/>
      <c r="I215" s="4" t="str">
        <f>IF(ISERROR(VLOOKUP(H215,#REF!,9,0)),"",VLOOKUP(H215,#REF!,9,0))</f>
        <v/>
      </c>
      <c r="J215" s="42" t="s">
        <v>729</v>
      </c>
      <c r="K215" s="1" t="s">
        <v>239</v>
      </c>
      <c r="L215" s="1"/>
      <c r="M215" s="43">
        <v>2022</v>
      </c>
      <c r="N215" s="42" t="s">
        <v>730</v>
      </c>
      <c r="O215" s="43" t="s">
        <v>163</v>
      </c>
      <c r="P215" s="43"/>
      <c r="Q215" s="43"/>
      <c r="R215" s="43"/>
      <c r="S215" s="43"/>
      <c r="T215" s="43"/>
      <c r="U215" s="42"/>
    </row>
    <row r="216" spans="1:21" ht="21" customHeight="1" x14ac:dyDescent="0.3">
      <c r="A216" s="44" t="str">
        <f t="shared" si="12"/>
        <v>1</v>
      </c>
      <c r="B216" s="41" t="str">
        <f t="shared" si="13"/>
        <v/>
      </c>
      <c r="C216" s="41" t="str">
        <f t="shared" si="14"/>
        <v/>
      </c>
      <c r="D216" s="41">
        <f t="shared" si="15"/>
        <v>1</v>
      </c>
      <c r="E216" s="62"/>
      <c r="F216" s="1"/>
      <c r="G216" s="1">
        <v>213</v>
      </c>
      <c r="H216" s="4"/>
      <c r="I216" s="4" t="str">
        <f>IF(ISERROR(VLOOKUP(H216,#REF!,9,0)),"",VLOOKUP(H216,#REF!,9,0))</f>
        <v/>
      </c>
      <c r="J216" s="42" t="s">
        <v>731</v>
      </c>
      <c r="K216" s="1" t="s">
        <v>239</v>
      </c>
      <c r="L216" s="1"/>
      <c r="M216" s="43">
        <v>2022</v>
      </c>
      <c r="N216" s="42"/>
      <c r="O216" s="43" t="s">
        <v>163</v>
      </c>
      <c r="P216" s="43"/>
      <c r="Q216" s="43"/>
      <c r="R216" s="43"/>
      <c r="S216" s="43"/>
      <c r="T216" s="43"/>
      <c r="U216" s="42"/>
    </row>
    <row r="217" spans="1:21" ht="21" customHeight="1" x14ac:dyDescent="0.3">
      <c r="A217" s="44" t="str">
        <f t="shared" si="12"/>
        <v>1</v>
      </c>
      <c r="B217" s="41" t="str">
        <f t="shared" si="13"/>
        <v/>
      </c>
      <c r="C217" s="41" t="str">
        <f t="shared" si="14"/>
        <v/>
      </c>
      <c r="D217" s="41">
        <f t="shared" si="15"/>
        <v>1</v>
      </c>
      <c r="E217" s="62"/>
      <c r="F217" s="1"/>
      <c r="G217" s="1">
        <v>214</v>
      </c>
      <c r="H217" s="4"/>
      <c r="I217" s="4" t="str">
        <f>IF(ISERROR(VLOOKUP(H217,#REF!,9,0)),"",VLOOKUP(H217,#REF!,9,0))</f>
        <v/>
      </c>
      <c r="J217" s="42" t="s">
        <v>732</v>
      </c>
      <c r="K217" s="1" t="s">
        <v>239</v>
      </c>
      <c r="L217" s="1" t="s">
        <v>47</v>
      </c>
      <c r="M217" s="43">
        <v>2022</v>
      </c>
      <c r="N217" s="42"/>
      <c r="O217" s="43" t="s">
        <v>163</v>
      </c>
      <c r="P217" s="43"/>
      <c r="Q217" s="43"/>
      <c r="R217" s="43"/>
      <c r="S217" s="43"/>
      <c r="T217" s="43"/>
      <c r="U217" s="42"/>
    </row>
    <row r="218" spans="1:21" ht="21" customHeight="1" x14ac:dyDescent="0.3">
      <c r="A218" s="44" t="str">
        <f t="shared" si="12"/>
        <v>1</v>
      </c>
      <c r="B218" s="41" t="str">
        <f t="shared" si="13"/>
        <v/>
      </c>
      <c r="C218" s="41" t="str">
        <f t="shared" si="14"/>
        <v/>
      </c>
      <c r="D218" s="41">
        <f t="shared" si="15"/>
        <v>1</v>
      </c>
      <c r="E218" s="62"/>
      <c r="F218" s="1"/>
      <c r="G218" s="1">
        <v>215</v>
      </c>
      <c r="H218" s="4"/>
      <c r="I218" s="4" t="str">
        <f>IF(ISERROR(VLOOKUP(H218,#REF!,9,0)),"",VLOOKUP(H218,#REF!,9,0))</f>
        <v/>
      </c>
      <c r="J218" s="42" t="s">
        <v>733</v>
      </c>
      <c r="K218" s="1" t="s">
        <v>239</v>
      </c>
      <c r="L218" s="1" t="s">
        <v>47</v>
      </c>
      <c r="M218" s="43">
        <v>2022</v>
      </c>
      <c r="N218" s="42"/>
      <c r="O218" s="43" t="s">
        <v>163</v>
      </c>
      <c r="P218" s="43"/>
      <c r="Q218" s="43"/>
      <c r="R218" s="43"/>
      <c r="S218" s="43"/>
      <c r="T218" s="43"/>
      <c r="U218" s="42"/>
    </row>
    <row r="219" spans="1:21" ht="21" customHeight="1" x14ac:dyDescent="0.3">
      <c r="A219" s="44" t="str">
        <f t="shared" si="12"/>
        <v>1</v>
      </c>
      <c r="B219" s="41" t="str">
        <f t="shared" si="13"/>
        <v/>
      </c>
      <c r="C219" s="41" t="str">
        <f t="shared" si="14"/>
        <v/>
      </c>
      <c r="D219" s="41">
        <f t="shared" si="15"/>
        <v>1</v>
      </c>
      <c r="E219" s="62" t="s">
        <v>246</v>
      </c>
      <c r="F219" s="1" t="s">
        <v>48</v>
      </c>
      <c r="G219" s="1">
        <v>216</v>
      </c>
      <c r="H219" s="4"/>
      <c r="I219" s="4" t="str">
        <f>IF(ISERROR(VLOOKUP(H219,#REF!,9,0)),"",VLOOKUP(H219,#REF!,9,0))</f>
        <v/>
      </c>
      <c r="J219" s="42" t="s">
        <v>734</v>
      </c>
      <c r="K219" s="1" t="s">
        <v>248</v>
      </c>
      <c r="L219" s="1" t="s">
        <v>47</v>
      </c>
      <c r="M219" s="43">
        <v>2022</v>
      </c>
      <c r="N219" s="42"/>
      <c r="O219" s="43" t="s">
        <v>163</v>
      </c>
      <c r="P219" s="43"/>
      <c r="Q219" s="43"/>
      <c r="R219" s="43"/>
      <c r="S219" s="43"/>
      <c r="T219" s="43"/>
      <c r="U219" s="42"/>
    </row>
    <row r="220" spans="1:21" ht="21" customHeight="1" x14ac:dyDescent="0.3">
      <c r="A220" s="44" t="str">
        <f t="shared" si="12"/>
        <v>1</v>
      </c>
      <c r="B220" s="41" t="str">
        <f t="shared" si="13"/>
        <v/>
      </c>
      <c r="C220" s="41" t="str">
        <f t="shared" si="14"/>
        <v/>
      </c>
      <c r="D220" s="41">
        <f t="shared" si="15"/>
        <v>1</v>
      </c>
      <c r="E220" s="62"/>
      <c r="F220" s="1" t="s">
        <v>48</v>
      </c>
      <c r="G220" s="1">
        <v>217</v>
      </c>
      <c r="H220" s="4"/>
      <c r="I220" s="4" t="str">
        <f>IF(ISERROR(VLOOKUP(H220,#REF!,9,0)),"",VLOOKUP(H220,#REF!,9,0))</f>
        <v/>
      </c>
      <c r="J220" s="42" t="s">
        <v>735</v>
      </c>
      <c r="K220" s="1" t="s">
        <v>248</v>
      </c>
      <c r="L220" s="1" t="s">
        <v>47</v>
      </c>
      <c r="M220" s="43">
        <v>2022</v>
      </c>
      <c r="N220" s="42" t="s">
        <v>736</v>
      </c>
      <c r="O220" s="43" t="s">
        <v>163</v>
      </c>
      <c r="P220" s="43"/>
      <c r="Q220" s="43"/>
      <c r="R220" s="43"/>
      <c r="S220" s="43"/>
      <c r="T220" s="43"/>
      <c r="U220" s="42"/>
    </row>
    <row r="221" spans="1:21" ht="21" customHeight="1" x14ac:dyDescent="0.3">
      <c r="A221" s="44" t="str">
        <f t="shared" si="12"/>
        <v>1</v>
      </c>
      <c r="B221" s="41" t="str">
        <f t="shared" si="13"/>
        <v/>
      </c>
      <c r="C221" s="41" t="str">
        <f t="shared" si="14"/>
        <v/>
      </c>
      <c r="D221" s="41">
        <f t="shared" si="15"/>
        <v>1</v>
      </c>
      <c r="E221" s="62"/>
      <c r="F221" s="1" t="s">
        <v>48</v>
      </c>
      <c r="G221" s="1">
        <v>218</v>
      </c>
      <c r="H221" s="4"/>
      <c r="I221" s="4" t="str">
        <f>IF(ISERROR(VLOOKUP(H221,#REF!,9,0)),"",VLOOKUP(H221,#REF!,9,0))</f>
        <v/>
      </c>
      <c r="J221" s="42" t="s">
        <v>737</v>
      </c>
      <c r="K221" s="1" t="s">
        <v>248</v>
      </c>
      <c r="L221" s="1" t="s">
        <v>47</v>
      </c>
      <c r="M221" s="43">
        <v>2022</v>
      </c>
      <c r="N221" s="42" t="s">
        <v>738</v>
      </c>
      <c r="O221" s="43" t="s">
        <v>163</v>
      </c>
      <c r="P221" s="43"/>
      <c r="Q221" s="43"/>
      <c r="R221" s="43"/>
      <c r="S221" s="43"/>
      <c r="T221" s="43"/>
      <c r="U221" s="42"/>
    </row>
    <row r="222" spans="1:21" ht="21" customHeight="1" x14ac:dyDescent="0.3">
      <c r="A222" s="44" t="str">
        <f t="shared" si="12"/>
        <v>11</v>
      </c>
      <c r="B222" s="41">
        <f t="shared" si="13"/>
        <v>1</v>
      </c>
      <c r="C222" s="41" t="str">
        <f t="shared" si="14"/>
        <v/>
      </c>
      <c r="D222" s="41">
        <f t="shared" si="15"/>
        <v>1</v>
      </c>
      <c r="E222" s="62"/>
      <c r="F222" s="1" t="s">
        <v>48</v>
      </c>
      <c r="G222" s="1">
        <v>219</v>
      </c>
      <c r="H222" s="4" t="s">
        <v>739</v>
      </c>
      <c r="I222" s="4" t="str">
        <f>IF(ISERROR(VLOOKUP(H222,#REF!,9,0)),"",VLOOKUP(H222,#REF!,9,0))</f>
        <v/>
      </c>
      <c r="J222" s="42" t="s">
        <v>740</v>
      </c>
      <c r="K222" s="1" t="s">
        <v>248</v>
      </c>
      <c r="L222" s="1" t="s">
        <v>47</v>
      </c>
      <c r="M222" s="43">
        <v>2022</v>
      </c>
      <c r="N222" s="42"/>
      <c r="O222" s="43" t="s">
        <v>163</v>
      </c>
      <c r="P222" s="43"/>
      <c r="Q222" s="43"/>
      <c r="R222" s="43"/>
      <c r="S222" s="43"/>
      <c r="T222" s="43"/>
      <c r="U222" s="42"/>
    </row>
    <row r="223" spans="1:21" ht="21" customHeight="1" x14ac:dyDescent="0.3">
      <c r="A223" s="44" t="str">
        <f t="shared" si="12"/>
        <v>11</v>
      </c>
      <c r="B223" s="41">
        <f t="shared" si="13"/>
        <v>1</v>
      </c>
      <c r="C223" s="41" t="str">
        <f t="shared" si="14"/>
        <v/>
      </c>
      <c r="D223" s="41">
        <f t="shared" si="15"/>
        <v>1</v>
      </c>
      <c r="E223" s="62"/>
      <c r="F223" s="1" t="s">
        <v>48</v>
      </c>
      <c r="G223" s="1">
        <v>220</v>
      </c>
      <c r="H223" s="4" t="s">
        <v>741</v>
      </c>
      <c r="I223" s="4" t="str">
        <f>IF(ISERROR(VLOOKUP(H223,#REF!,9,0)),"",VLOOKUP(H223,#REF!,9,0))</f>
        <v/>
      </c>
      <c r="J223" s="42" t="s">
        <v>741</v>
      </c>
      <c r="K223" s="1" t="s">
        <v>248</v>
      </c>
      <c r="L223" s="1" t="s">
        <v>47</v>
      </c>
      <c r="M223" s="43">
        <v>2022</v>
      </c>
      <c r="N223" s="42" t="s">
        <v>742</v>
      </c>
      <c r="O223" s="43" t="s">
        <v>163</v>
      </c>
      <c r="P223" s="43"/>
      <c r="Q223" s="43"/>
      <c r="R223" s="43"/>
      <c r="S223" s="43"/>
      <c r="T223" s="43"/>
      <c r="U223" s="42"/>
    </row>
    <row r="224" spans="1:21" ht="21" customHeight="1" x14ac:dyDescent="0.3">
      <c r="A224" s="44" t="str">
        <f t="shared" si="12"/>
        <v>11</v>
      </c>
      <c r="B224" s="41">
        <f t="shared" si="13"/>
        <v>1</v>
      </c>
      <c r="C224" s="41" t="str">
        <f t="shared" si="14"/>
        <v/>
      </c>
      <c r="D224" s="41">
        <f t="shared" si="15"/>
        <v>1</v>
      </c>
      <c r="E224" s="62"/>
      <c r="F224" s="1" t="s">
        <v>48</v>
      </c>
      <c r="G224" s="1">
        <v>221</v>
      </c>
      <c r="H224" s="4" t="s">
        <v>743</v>
      </c>
      <c r="I224" s="4" t="str">
        <f>IF(ISERROR(VLOOKUP(H224,#REF!,9,0)),"",VLOOKUP(H224,#REF!,9,0))</f>
        <v/>
      </c>
      <c r="J224" s="42" t="s">
        <v>743</v>
      </c>
      <c r="K224" s="1" t="s">
        <v>248</v>
      </c>
      <c r="L224" s="1" t="s">
        <v>47</v>
      </c>
      <c r="M224" s="43">
        <v>2022</v>
      </c>
      <c r="N224" s="42" t="s">
        <v>744</v>
      </c>
      <c r="O224" s="43" t="s">
        <v>163</v>
      </c>
      <c r="P224" s="43"/>
      <c r="Q224" s="43"/>
      <c r="R224" s="43"/>
      <c r="S224" s="43"/>
      <c r="T224" s="43"/>
      <c r="U224" s="42"/>
    </row>
    <row r="225" spans="1:21" ht="21" customHeight="1" x14ac:dyDescent="0.3">
      <c r="A225" s="44" t="str">
        <f t="shared" si="12"/>
        <v>1</v>
      </c>
      <c r="B225" s="41" t="str">
        <f t="shared" si="13"/>
        <v/>
      </c>
      <c r="C225" s="41" t="str">
        <f t="shared" si="14"/>
        <v/>
      </c>
      <c r="D225" s="41">
        <f t="shared" si="15"/>
        <v>1</v>
      </c>
      <c r="E225" s="62"/>
      <c r="F225" s="1" t="s">
        <v>48</v>
      </c>
      <c r="G225" s="1">
        <v>222</v>
      </c>
      <c r="H225" s="4"/>
      <c r="I225" s="4" t="str">
        <f>IF(ISERROR(VLOOKUP(H225,#REF!,9,0)),"",VLOOKUP(H225,#REF!,9,0))</f>
        <v/>
      </c>
      <c r="J225" s="42" t="s">
        <v>745</v>
      </c>
      <c r="K225" s="1" t="s">
        <v>248</v>
      </c>
      <c r="L225" s="1" t="s">
        <v>47</v>
      </c>
      <c r="M225" s="43">
        <v>2022</v>
      </c>
      <c r="N225" s="42"/>
      <c r="O225" s="43" t="s">
        <v>163</v>
      </c>
      <c r="P225" s="43"/>
      <c r="Q225" s="43"/>
      <c r="R225" s="43"/>
      <c r="S225" s="43"/>
      <c r="T225" s="43"/>
      <c r="U225" s="42"/>
    </row>
    <row r="226" spans="1:21" ht="21" customHeight="1" x14ac:dyDescent="0.3">
      <c r="A226" s="44" t="str">
        <f t="shared" si="12"/>
        <v>1</v>
      </c>
      <c r="B226" s="41" t="str">
        <f t="shared" si="13"/>
        <v/>
      </c>
      <c r="C226" s="41" t="str">
        <f t="shared" si="14"/>
        <v/>
      </c>
      <c r="D226" s="41">
        <f t="shared" si="15"/>
        <v>1</v>
      </c>
      <c r="E226" s="62"/>
      <c r="F226" s="1" t="s">
        <v>48</v>
      </c>
      <c r="G226" s="1">
        <v>223</v>
      </c>
      <c r="H226" s="4"/>
      <c r="I226" s="4" t="str">
        <f>IF(ISERROR(VLOOKUP(H226,#REF!,9,0)),"",VLOOKUP(H226,#REF!,9,0))</f>
        <v/>
      </c>
      <c r="J226" s="42" t="s">
        <v>746</v>
      </c>
      <c r="K226" s="1" t="s">
        <v>248</v>
      </c>
      <c r="L226" s="1" t="s">
        <v>47</v>
      </c>
      <c r="M226" s="43">
        <v>2022</v>
      </c>
      <c r="N226" s="42" t="s">
        <v>747</v>
      </c>
      <c r="O226" s="43" t="s">
        <v>163</v>
      </c>
      <c r="P226" s="43"/>
      <c r="Q226" s="43"/>
      <c r="R226" s="43"/>
      <c r="S226" s="43"/>
      <c r="T226" s="43"/>
      <c r="U226" s="42"/>
    </row>
    <row r="227" spans="1:21" ht="21" customHeight="1" x14ac:dyDescent="0.3">
      <c r="A227" s="44" t="str">
        <f t="shared" si="12"/>
        <v>11</v>
      </c>
      <c r="B227" s="41">
        <f t="shared" si="13"/>
        <v>1</v>
      </c>
      <c r="C227" s="41" t="str">
        <f t="shared" si="14"/>
        <v/>
      </c>
      <c r="D227" s="41">
        <f t="shared" si="15"/>
        <v>1</v>
      </c>
      <c r="E227" s="62"/>
      <c r="F227" s="1" t="s">
        <v>48</v>
      </c>
      <c r="G227" s="1">
        <v>224</v>
      </c>
      <c r="H227" s="4" t="s">
        <v>748</v>
      </c>
      <c r="I227" s="4" t="str">
        <f>IF(ISERROR(VLOOKUP(H227,#REF!,9,0)),"",VLOOKUP(H227,#REF!,9,0))</f>
        <v/>
      </c>
      <c r="J227" s="42" t="s">
        <v>749</v>
      </c>
      <c r="K227" s="1" t="s">
        <v>248</v>
      </c>
      <c r="L227" s="1" t="s">
        <v>521</v>
      </c>
      <c r="M227" s="43">
        <v>2022</v>
      </c>
      <c r="N227" s="42" t="s">
        <v>750</v>
      </c>
      <c r="O227" s="43" t="s">
        <v>163</v>
      </c>
      <c r="P227" s="43"/>
      <c r="Q227" s="43"/>
      <c r="R227" s="43"/>
      <c r="S227" s="43"/>
      <c r="T227" s="43"/>
      <c r="U227" s="42"/>
    </row>
    <row r="228" spans="1:21" ht="21" customHeight="1" x14ac:dyDescent="0.3">
      <c r="A228" s="44" t="str">
        <f t="shared" si="12"/>
        <v>1</v>
      </c>
      <c r="B228" s="41" t="str">
        <f t="shared" si="13"/>
        <v/>
      </c>
      <c r="C228" s="41" t="str">
        <f t="shared" si="14"/>
        <v/>
      </c>
      <c r="D228" s="41">
        <f t="shared" si="15"/>
        <v>1</v>
      </c>
      <c r="E228" s="62"/>
      <c r="F228" s="1" t="s">
        <v>48</v>
      </c>
      <c r="G228" s="1">
        <v>225</v>
      </c>
      <c r="H228" s="4"/>
      <c r="I228" s="4" t="str">
        <f>IF(ISERROR(VLOOKUP(H228,#REF!,9,0)),"",VLOOKUP(H228,#REF!,9,0))</f>
        <v/>
      </c>
      <c r="J228" s="42" t="s">
        <v>751</v>
      </c>
      <c r="K228" s="1" t="s">
        <v>248</v>
      </c>
      <c r="L228" s="1" t="s">
        <v>47</v>
      </c>
      <c r="M228" s="43">
        <v>2022</v>
      </c>
      <c r="N228" s="42"/>
      <c r="O228" s="43" t="s">
        <v>163</v>
      </c>
      <c r="P228" s="43"/>
      <c r="Q228" s="43"/>
      <c r="R228" s="43"/>
      <c r="S228" s="43"/>
      <c r="T228" s="43"/>
      <c r="U228" s="42"/>
    </row>
    <row r="229" spans="1:21" ht="21" customHeight="1" x14ac:dyDescent="0.3">
      <c r="A229" s="44" t="str">
        <f t="shared" si="12"/>
        <v>11</v>
      </c>
      <c r="B229" s="41">
        <f t="shared" si="13"/>
        <v>1</v>
      </c>
      <c r="C229" s="41" t="str">
        <f t="shared" si="14"/>
        <v/>
      </c>
      <c r="D229" s="41">
        <f t="shared" si="15"/>
        <v>1</v>
      </c>
      <c r="E229" s="62"/>
      <c r="F229" s="1" t="s">
        <v>48</v>
      </c>
      <c r="G229" s="1">
        <v>226</v>
      </c>
      <c r="H229" s="4" t="s">
        <v>752</v>
      </c>
      <c r="I229" s="4" t="str">
        <f>IF(ISERROR(VLOOKUP(H229,#REF!,9,0)),"",VLOOKUP(H229,#REF!,9,0))</f>
        <v/>
      </c>
      <c r="J229" s="42" t="s">
        <v>753</v>
      </c>
      <c r="K229" s="1" t="s">
        <v>248</v>
      </c>
      <c r="L229" s="1" t="s">
        <v>47</v>
      </c>
      <c r="M229" s="43">
        <v>2022</v>
      </c>
      <c r="N229" s="42" t="s">
        <v>754</v>
      </c>
      <c r="O229" s="43" t="s">
        <v>163</v>
      </c>
      <c r="P229" s="43"/>
      <c r="Q229" s="43"/>
      <c r="R229" s="43"/>
      <c r="S229" s="43"/>
      <c r="T229" s="43"/>
      <c r="U229" s="42"/>
    </row>
    <row r="230" spans="1:21" ht="21" customHeight="1" x14ac:dyDescent="0.3">
      <c r="A230" s="44" t="str">
        <f t="shared" si="12"/>
        <v>11</v>
      </c>
      <c r="B230" s="41">
        <f t="shared" si="13"/>
        <v>1</v>
      </c>
      <c r="C230" s="41" t="str">
        <f t="shared" si="14"/>
        <v/>
      </c>
      <c r="D230" s="41">
        <f t="shared" si="15"/>
        <v>1</v>
      </c>
      <c r="E230" s="62"/>
      <c r="F230" s="1" t="s">
        <v>48</v>
      </c>
      <c r="G230" s="1">
        <v>227</v>
      </c>
      <c r="H230" s="4" t="s">
        <v>755</v>
      </c>
      <c r="I230" s="4" t="str">
        <f>IF(ISERROR(VLOOKUP(H230,#REF!,9,0)),"",VLOOKUP(H230,#REF!,9,0))</f>
        <v/>
      </c>
      <c r="J230" s="42" t="s">
        <v>756</v>
      </c>
      <c r="K230" s="1" t="s">
        <v>248</v>
      </c>
      <c r="L230" s="1" t="s">
        <v>47</v>
      </c>
      <c r="M230" s="43">
        <v>2022</v>
      </c>
      <c r="N230" s="42"/>
      <c r="O230" s="43" t="s">
        <v>163</v>
      </c>
      <c r="P230" s="43"/>
      <c r="Q230" s="43"/>
      <c r="R230" s="43"/>
      <c r="S230" s="43"/>
      <c r="T230" s="43"/>
      <c r="U230" s="42"/>
    </row>
    <row r="231" spans="1:21" ht="21" customHeight="1" x14ac:dyDescent="0.3">
      <c r="A231" s="44" t="str">
        <f t="shared" si="12"/>
        <v>1</v>
      </c>
      <c r="B231" s="41" t="str">
        <f t="shared" si="13"/>
        <v/>
      </c>
      <c r="C231" s="41" t="str">
        <f t="shared" si="14"/>
        <v/>
      </c>
      <c r="D231" s="41">
        <f t="shared" si="15"/>
        <v>1</v>
      </c>
      <c r="E231" s="62"/>
      <c r="F231" s="1" t="s">
        <v>48</v>
      </c>
      <c r="G231" s="1">
        <v>228</v>
      </c>
      <c r="H231" s="4"/>
      <c r="I231" s="4" t="str">
        <f>IF(ISERROR(VLOOKUP(H231,#REF!,9,0)),"",VLOOKUP(H231,#REF!,9,0))</f>
        <v/>
      </c>
      <c r="J231" s="42" t="s">
        <v>757</v>
      </c>
      <c r="K231" s="1" t="s">
        <v>248</v>
      </c>
      <c r="L231" s="1" t="s">
        <v>47</v>
      </c>
      <c r="M231" s="43">
        <v>2022</v>
      </c>
      <c r="N231" s="42"/>
      <c r="O231" s="43" t="s">
        <v>163</v>
      </c>
      <c r="P231" s="43"/>
      <c r="Q231" s="43"/>
      <c r="R231" s="43"/>
      <c r="S231" s="43"/>
      <c r="T231" s="43"/>
      <c r="U231" s="42"/>
    </row>
    <row r="232" spans="1:21" ht="21" customHeight="1" x14ac:dyDescent="0.3">
      <c r="A232" s="44" t="str">
        <f t="shared" si="12"/>
        <v>1</v>
      </c>
      <c r="B232" s="41" t="str">
        <f t="shared" si="13"/>
        <v/>
      </c>
      <c r="C232" s="41" t="str">
        <f t="shared" si="14"/>
        <v/>
      </c>
      <c r="D232" s="41">
        <f t="shared" si="15"/>
        <v>1</v>
      </c>
      <c r="E232" s="62"/>
      <c r="F232" s="1" t="s">
        <v>48</v>
      </c>
      <c r="G232" s="1">
        <v>229</v>
      </c>
      <c r="H232" s="4"/>
      <c r="I232" s="4" t="str">
        <f>IF(ISERROR(VLOOKUP(H232,#REF!,9,0)),"",VLOOKUP(H232,#REF!,9,0))</f>
        <v/>
      </c>
      <c r="J232" s="42" t="s">
        <v>758</v>
      </c>
      <c r="K232" s="1" t="s">
        <v>248</v>
      </c>
      <c r="L232" s="1" t="s">
        <v>47</v>
      </c>
      <c r="M232" s="43">
        <v>2022</v>
      </c>
      <c r="N232" s="42"/>
      <c r="O232" s="43" t="s">
        <v>163</v>
      </c>
      <c r="P232" s="43"/>
      <c r="Q232" s="43"/>
      <c r="R232" s="43"/>
      <c r="S232" s="43"/>
      <c r="T232" s="43"/>
      <c r="U232" s="42"/>
    </row>
    <row r="233" spans="1:21" ht="21" customHeight="1" x14ac:dyDescent="0.3">
      <c r="A233" s="44" t="str">
        <f t="shared" si="12"/>
        <v>11</v>
      </c>
      <c r="B233" s="41">
        <f t="shared" si="13"/>
        <v>1</v>
      </c>
      <c r="C233" s="41" t="str">
        <f t="shared" si="14"/>
        <v/>
      </c>
      <c r="D233" s="41">
        <f t="shared" si="15"/>
        <v>1</v>
      </c>
      <c r="E233" s="62"/>
      <c r="F233" s="1" t="s">
        <v>48</v>
      </c>
      <c r="G233" s="1">
        <v>230</v>
      </c>
      <c r="H233" s="4" t="s">
        <v>759</v>
      </c>
      <c r="I233" s="4" t="str">
        <f>IF(ISERROR(VLOOKUP(H233,#REF!,9,0)),"",VLOOKUP(H233,#REF!,9,0))</f>
        <v/>
      </c>
      <c r="J233" s="42" t="s">
        <v>759</v>
      </c>
      <c r="K233" s="1" t="s">
        <v>248</v>
      </c>
      <c r="L233" s="1" t="s">
        <v>47</v>
      </c>
      <c r="M233" s="43">
        <v>2022</v>
      </c>
      <c r="N233" s="42" t="s">
        <v>760</v>
      </c>
      <c r="O233" s="43" t="s">
        <v>163</v>
      </c>
      <c r="P233" s="43"/>
      <c r="Q233" s="43"/>
      <c r="R233" s="43"/>
      <c r="S233" s="43"/>
      <c r="T233" s="43"/>
      <c r="U233" s="42"/>
    </row>
    <row r="234" spans="1:21" ht="21" customHeight="1" x14ac:dyDescent="0.3">
      <c r="A234" s="44" t="str">
        <f t="shared" si="12"/>
        <v>1</v>
      </c>
      <c r="B234" s="41" t="str">
        <f t="shared" si="13"/>
        <v/>
      </c>
      <c r="C234" s="41" t="str">
        <f t="shared" si="14"/>
        <v/>
      </c>
      <c r="D234" s="41">
        <f t="shared" si="15"/>
        <v>1</v>
      </c>
      <c r="E234" s="62"/>
      <c r="F234" s="1" t="s">
        <v>48</v>
      </c>
      <c r="G234" s="1">
        <v>231</v>
      </c>
      <c r="H234" s="4"/>
      <c r="I234" s="4" t="str">
        <f>IF(ISERROR(VLOOKUP(H234,#REF!,9,0)),"",VLOOKUP(H234,#REF!,9,0))</f>
        <v/>
      </c>
      <c r="J234" s="42" t="s">
        <v>761</v>
      </c>
      <c r="K234" s="1" t="s">
        <v>248</v>
      </c>
      <c r="L234" s="1" t="s">
        <v>47</v>
      </c>
      <c r="M234" s="43">
        <v>2022</v>
      </c>
      <c r="N234" s="42"/>
      <c r="O234" s="43" t="s">
        <v>163</v>
      </c>
      <c r="P234" s="43"/>
      <c r="Q234" s="43"/>
      <c r="R234" s="43"/>
      <c r="S234" s="43"/>
      <c r="T234" s="43"/>
      <c r="U234" s="42"/>
    </row>
    <row r="235" spans="1:21" ht="21" customHeight="1" x14ac:dyDescent="0.3">
      <c r="A235" s="44" t="str">
        <f t="shared" si="12"/>
        <v>1</v>
      </c>
      <c r="B235" s="41" t="str">
        <f t="shared" si="13"/>
        <v/>
      </c>
      <c r="C235" s="41" t="str">
        <f t="shared" si="14"/>
        <v/>
      </c>
      <c r="D235" s="41">
        <f t="shared" si="15"/>
        <v>1</v>
      </c>
      <c r="E235" s="62"/>
      <c r="F235" s="1" t="s">
        <v>48</v>
      </c>
      <c r="G235" s="1">
        <v>232</v>
      </c>
      <c r="H235" s="4"/>
      <c r="I235" s="4" t="str">
        <f>IF(ISERROR(VLOOKUP(H235,#REF!,9,0)),"",VLOOKUP(H235,#REF!,9,0))</f>
        <v/>
      </c>
      <c r="J235" s="42" t="s">
        <v>762</v>
      </c>
      <c r="K235" s="1" t="s">
        <v>248</v>
      </c>
      <c r="L235" s="1" t="s">
        <v>47</v>
      </c>
      <c r="M235" s="43">
        <v>2022</v>
      </c>
      <c r="N235" s="42"/>
      <c r="O235" s="43" t="s">
        <v>163</v>
      </c>
      <c r="P235" s="43"/>
      <c r="Q235" s="43"/>
      <c r="R235" s="43"/>
      <c r="S235" s="43"/>
      <c r="T235" s="43"/>
      <c r="U235" s="42"/>
    </row>
    <row r="236" spans="1:21" ht="21" customHeight="1" x14ac:dyDescent="0.3">
      <c r="A236" s="44" t="str">
        <f t="shared" si="12"/>
        <v>1</v>
      </c>
      <c r="B236" s="41" t="str">
        <f t="shared" si="13"/>
        <v/>
      </c>
      <c r="C236" s="41" t="str">
        <f t="shared" si="14"/>
        <v/>
      </c>
      <c r="D236" s="41">
        <f t="shared" si="15"/>
        <v>1</v>
      </c>
      <c r="E236" s="62"/>
      <c r="F236" s="1" t="s">
        <v>48</v>
      </c>
      <c r="G236" s="1">
        <v>233</v>
      </c>
      <c r="H236" s="4"/>
      <c r="I236" s="4" t="str">
        <f>IF(ISERROR(VLOOKUP(H236,#REF!,9,0)),"",VLOOKUP(H236,#REF!,9,0))</f>
        <v/>
      </c>
      <c r="J236" s="42" t="s">
        <v>763</v>
      </c>
      <c r="K236" s="1" t="s">
        <v>248</v>
      </c>
      <c r="L236" s="1" t="s">
        <v>47</v>
      </c>
      <c r="M236" s="43">
        <v>2022</v>
      </c>
      <c r="N236" s="42" t="s">
        <v>764</v>
      </c>
      <c r="O236" s="43" t="s">
        <v>163</v>
      </c>
      <c r="P236" s="43"/>
      <c r="Q236" s="43"/>
      <c r="R236" s="43"/>
      <c r="S236" s="43"/>
      <c r="T236" s="43"/>
      <c r="U236" s="42"/>
    </row>
    <row r="237" spans="1:21" ht="21" customHeight="1" x14ac:dyDescent="0.3">
      <c r="A237" s="44" t="str">
        <f t="shared" si="12"/>
        <v>1</v>
      </c>
      <c r="B237" s="41" t="str">
        <f t="shared" si="13"/>
        <v/>
      </c>
      <c r="C237" s="41" t="str">
        <f t="shared" si="14"/>
        <v/>
      </c>
      <c r="D237" s="41">
        <f t="shared" si="15"/>
        <v>1</v>
      </c>
      <c r="E237" s="62"/>
      <c r="F237" s="1" t="s">
        <v>48</v>
      </c>
      <c r="G237" s="1">
        <v>234</v>
      </c>
      <c r="H237" s="4"/>
      <c r="I237" s="4" t="str">
        <f>IF(ISERROR(VLOOKUP(H237,#REF!,9,0)),"",VLOOKUP(H237,#REF!,9,0))</f>
        <v/>
      </c>
      <c r="J237" s="42" t="s">
        <v>765</v>
      </c>
      <c r="K237" s="1" t="s">
        <v>248</v>
      </c>
      <c r="L237" s="1" t="s">
        <v>47</v>
      </c>
      <c r="M237" s="43">
        <v>2022</v>
      </c>
      <c r="N237" s="42"/>
      <c r="O237" s="43" t="s">
        <v>163</v>
      </c>
      <c r="P237" s="43"/>
      <c r="Q237" s="43"/>
      <c r="R237" s="43"/>
      <c r="S237" s="43"/>
      <c r="T237" s="43"/>
      <c r="U237" s="42"/>
    </row>
    <row r="238" spans="1:21" ht="21" customHeight="1" x14ac:dyDescent="0.3">
      <c r="A238" s="44" t="str">
        <f t="shared" si="12"/>
        <v>1</v>
      </c>
      <c r="B238" s="41" t="str">
        <f t="shared" si="13"/>
        <v/>
      </c>
      <c r="C238" s="41" t="str">
        <f t="shared" si="14"/>
        <v/>
      </c>
      <c r="D238" s="41">
        <f t="shared" si="15"/>
        <v>1</v>
      </c>
      <c r="E238" s="62"/>
      <c r="F238" s="1" t="s">
        <v>48</v>
      </c>
      <c r="G238" s="1">
        <v>235</v>
      </c>
      <c r="H238" s="4"/>
      <c r="I238" s="4" t="str">
        <f>IF(ISERROR(VLOOKUP(H238,#REF!,9,0)),"",VLOOKUP(H238,#REF!,9,0))</f>
        <v/>
      </c>
      <c r="J238" s="42" t="s">
        <v>766</v>
      </c>
      <c r="K238" s="1" t="s">
        <v>248</v>
      </c>
      <c r="L238" s="1" t="s">
        <v>47</v>
      </c>
      <c r="M238" s="43">
        <v>2022</v>
      </c>
      <c r="N238" s="42"/>
      <c r="O238" s="43" t="s">
        <v>163</v>
      </c>
      <c r="P238" s="43"/>
      <c r="Q238" s="43"/>
      <c r="R238" s="43"/>
      <c r="S238" s="43"/>
      <c r="T238" s="43"/>
      <c r="U238" s="42"/>
    </row>
    <row r="239" spans="1:21" ht="21" customHeight="1" x14ac:dyDescent="0.3">
      <c r="A239" s="44" t="str">
        <f t="shared" si="12"/>
        <v>11</v>
      </c>
      <c r="B239" s="41">
        <f t="shared" si="13"/>
        <v>1</v>
      </c>
      <c r="C239" s="41" t="str">
        <f t="shared" si="14"/>
        <v/>
      </c>
      <c r="D239" s="41">
        <f t="shared" si="15"/>
        <v>1</v>
      </c>
      <c r="E239" s="62"/>
      <c r="F239" s="1"/>
      <c r="G239" s="1">
        <v>236</v>
      </c>
      <c r="H239" s="4" t="s">
        <v>767</v>
      </c>
      <c r="I239" s="4" t="str">
        <f>IF(ISERROR(VLOOKUP(H239,#REF!,9,0)),"",VLOOKUP(H239,#REF!,9,0))</f>
        <v/>
      </c>
      <c r="J239" s="42" t="s">
        <v>749</v>
      </c>
      <c r="K239" s="1" t="s">
        <v>248</v>
      </c>
      <c r="L239" s="1" t="s">
        <v>47</v>
      </c>
      <c r="M239" s="43">
        <v>2022</v>
      </c>
      <c r="N239" s="42" t="s">
        <v>750</v>
      </c>
      <c r="O239" s="43" t="s">
        <v>163</v>
      </c>
      <c r="P239" s="43"/>
      <c r="Q239" s="43"/>
      <c r="R239" s="43"/>
      <c r="S239" s="43"/>
      <c r="T239" s="43"/>
      <c r="U239" s="42"/>
    </row>
    <row r="240" spans="1:21" ht="21" customHeight="1" x14ac:dyDescent="0.3">
      <c r="A240" s="44" t="str">
        <f t="shared" si="12"/>
        <v>1</v>
      </c>
      <c r="B240" s="41">
        <f t="shared" si="13"/>
        <v>1</v>
      </c>
      <c r="C240" s="41" t="str">
        <f t="shared" si="14"/>
        <v/>
      </c>
      <c r="D240" s="41" t="str">
        <f t="shared" si="15"/>
        <v/>
      </c>
      <c r="E240" s="62"/>
      <c r="F240" s="1"/>
      <c r="G240" s="1">
        <v>237</v>
      </c>
      <c r="H240" s="4" t="s">
        <v>247</v>
      </c>
      <c r="I240" s="4" t="str">
        <f>IF(ISERROR(VLOOKUP(H240,#REF!,9,0)),"",VLOOKUP(H240,#REF!,9,0))</f>
        <v/>
      </c>
      <c r="J240" s="42"/>
      <c r="K240" s="1" t="s">
        <v>248</v>
      </c>
      <c r="L240" s="1" t="s">
        <v>522</v>
      </c>
      <c r="M240" s="43">
        <v>2022</v>
      </c>
      <c r="N240" s="42"/>
      <c r="O240" s="43" t="s">
        <v>163</v>
      </c>
      <c r="P240" s="43"/>
      <c r="Q240" s="43"/>
      <c r="R240" s="43"/>
      <c r="S240" s="43"/>
      <c r="T240" s="43"/>
      <c r="U240" s="42"/>
    </row>
    <row r="241" spans="1:21" ht="21" customHeight="1" x14ac:dyDescent="0.3">
      <c r="A241" s="44" t="str">
        <f t="shared" si="12"/>
        <v>11</v>
      </c>
      <c r="B241" s="41">
        <f t="shared" si="13"/>
        <v>1</v>
      </c>
      <c r="C241" s="41" t="str">
        <f t="shared" si="14"/>
        <v/>
      </c>
      <c r="D241" s="41">
        <f t="shared" si="15"/>
        <v>1</v>
      </c>
      <c r="E241" s="62"/>
      <c r="F241" s="1"/>
      <c r="G241" s="1">
        <v>238</v>
      </c>
      <c r="H241" s="4" t="s">
        <v>768</v>
      </c>
      <c r="I241" s="4" t="str">
        <f>IF(ISERROR(VLOOKUP(H241,#REF!,9,0)),"",VLOOKUP(H241,#REF!,9,0))</f>
        <v/>
      </c>
      <c r="J241" s="42" t="s">
        <v>745</v>
      </c>
      <c r="K241" s="1" t="s">
        <v>248</v>
      </c>
      <c r="L241" s="1" t="s">
        <v>47</v>
      </c>
      <c r="M241" s="43">
        <v>2022</v>
      </c>
      <c r="N241" s="42"/>
      <c r="O241" s="43" t="s">
        <v>163</v>
      </c>
      <c r="P241" s="43"/>
      <c r="Q241" s="43"/>
      <c r="R241" s="43"/>
      <c r="S241" s="43"/>
      <c r="T241" s="43"/>
      <c r="U241" s="42"/>
    </row>
    <row r="242" spans="1:21" ht="21" customHeight="1" x14ac:dyDescent="0.3">
      <c r="A242" s="44" t="str">
        <f t="shared" si="12"/>
        <v>1</v>
      </c>
      <c r="B242" s="41">
        <f t="shared" si="13"/>
        <v>1</v>
      </c>
      <c r="C242" s="41" t="str">
        <f t="shared" si="14"/>
        <v/>
      </c>
      <c r="D242" s="41" t="str">
        <f t="shared" si="15"/>
        <v/>
      </c>
      <c r="E242" s="62"/>
      <c r="F242" s="1" t="s">
        <v>249</v>
      </c>
      <c r="G242" s="1">
        <v>239</v>
      </c>
      <c r="H242" s="4" t="s">
        <v>250</v>
      </c>
      <c r="I242" s="4" t="str">
        <f>IF(ISERROR(VLOOKUP(H242,#REF!,9,0)),"",VLOOKUP(H242,#REF!,9,0))</f>
        <v/>
      </c>
      <c r="J242" s="42"/>
      <c r="K242" s="1" t="s">
        <v>248</v>
      </c>
      <c r="L242" s="1" t="s">
        <v>522</v>
      </c>
      <c r="M242" s="43" t="s">
        <v>565</v>
      </c>
      <c r="N242" s="42"/>
      <c r="O242" s="43" t="s">
        <v>70</v>
      </c>
      <c r="P242" s="43"/>
      <c r="Q242" s="43"/>
      <c r="R242" s="43"/>
      <c r="S242" s="43"/>
      <c r="T242" s="43"/>
      <c r="U242" s="42"/>
    </row>
    <row r="243" spans="1:21" ht="21" customHeight="1" x14ac:dyDescent="0.3">
      <c r="A243" s="44" t="str">
        <f t="shared" si="12"/>
        <v>1</v>
      </c>
      <c r="B243" s="41">
        <f t="shared" si="13"/>
        <v>1</v>
      </c>
      <c r="C243" s="41" t="str">
        <f t="shared" si="14"/>
        <v/>
      </c>
      <c r="D243" s="41" t="str">
        <f t="shared" si="15"/>
        <v/>
      </c>
      <c r="E243" s="62"/>
      <c r="F243" s="1" t="s">
        <v>249</v>
      </c>
      <c r="G243" s="1">
        <v>240</v>
      </c>
      <c r="H243" s="4" t="s">
        <v>251</v>
      </c>
      <c r="I243" s="4" t="str">
        <f>IF(ISERROR(VLOOKUP(H243,#REF!,9,0)),"",VLOOKUP(H243,#REF!,9,0))</f>
        <v/>
      </c>
      <c r="J243" s="42"/>
      <c r="K243" s="1" t="s">
        <v>248</v>
      </c>
      <c r="L243" s="1" t="s">
        <v>522</v>
      </c>
      <c r="M243" s="43" t="s">
        <v>565</v>
      </c>
      <c r="N243" s="42"/>
      <c r="O243" s="43" t="s">
        <v>70</v>
      </c>
      <c r="P243" s="43"/>
      <c r="Q243" s="43"/>
      <c r="R243" s="43"/>
      <c r="S243" s="43"/>
      <c r="T243" s="43"/>
      <c r="U243" s="42"/>
    </row>
    <row r="244" spans="1:21" ht="21" customHeight="1" x14ac:dyDescent="0.3">
      <c r="A244" s="44" t="str">
        <f t="shared" si="12"/>
        <v>1</v>
      </c>
      <c r="B244" s="41">
        <f t="shared" si="13"/>
        <v>1</v>
      </c>
      <c r="C244" s="41" t="str">
        <f t="shared" si="14"/>
        <v/>
      </c>
      <c r="D244" s="41" t="str">
        <f t="shared" si="15"/>
        <v/>
      </c>
      <c r="E244" s="62"/>
      <c r="F244" s="1" t="s">
        <v>249</v>
      </c>
      <c r="G244" s="1">
        <v>241</v>
      </c>
      <c r="H244" s="4" t="s">
        <v>252</v>
      </c>
      <c r="I244" s="4" t="str">
        <f>IF(ISERROR(VLOOKUP(H244,#REF!,9,0)),"",VLOOKUP(H244,#REF!,9,0))</f>
        <v/>
      </c>
      <c r="J244" s="42"/>
      <c r="K244" s="1" t="s">
        <v>248</v>
      </c>
      <c r="L244" s="1" t="s">
        <v>522</v>
      </c>
      <c r="M244" s="43" t="s">
        <v>565</v>
      </c>
      <c r="N244" s="42"/>
      <c r="O244" s="43" t="s">
        <v>70</v>
      </c>
      <c r="P244" s="43"/>
      <c r="Q244" s="43"/>
      <c r="R244" s="43"/>
      <c r="S244" s="43"/>
      <c r="T244" s="43"/>
      <c r="U244" s="42"/>
    </row>
    <row r="245" spans="1:21" ht="21" customHeight="1" x14ac:dyDescent="0.3">
      <c r="A245" s="44" t="str">
        <f t="shared" si="12"/>
        <v>1</v>
      </c>
      <c r="B245" s="41">
        <f t="shared" si="13"/>
        <v>1</v>
      </c>
      <c r="C245" s="41" t="str">
        <f t="shared" si="14"/>
        <v/>
      </c>
      <c r="D245" s="41" t="str">
        <f t="shared" si="15"/>
        <v/>
      </c>
      <c r="E245" s="62"/>
      <c r="F245" s="1" t="s">
        <v>249</v>
      </c>
      <c r="G245" s="1">
        <v>242</v>
      </c>
      <c r="H245" s="4" t="s">
        <v>253</v>
      </c>
      <c r="I245" s="4" t="str">
        <f>IF(ISERROR(VLOOKUP(H245,#REF!,9,0)),"",VLOOKUP(H245,#REF!,9,0))</f>
        <v/>
      </c>
      <c r="J245" s="42"/>
      <c r="K245" s="1" t="s">
        <v>248</v>
      </c>
      <c r="L245" s="1" t="s">
        <v>522</v>
      </c>
      <c r="M245" s="43" t="s">
        <v>565</v>
      </c>
      <c r="N245" s="42"/>
      <c r="O245" s="43" t="s">
        <v>70</v>
      </c>
      <c r="P245" s="43"/>
      <c r="Q245" s="43"/>
      <c r="R245" s="43"/>
      <c r="S245" s="43"/>
      <c r="T245" s="43"/>
      <c r="U245" s="42"/>
    </row>
    <row r="246" spans="1:21" ht="21" customHeight="1" x14ac:dyDescent="0.3">
      <c r="A246" s="44" t="str">
        <f t="shared" si="12"/>
        <v>11</v>
      </c>
      <c r="B246" s="41">
        <f t="shared" si="13"/>
        <v>1</v>
      </c>
      <c r="C246" s="41" t="str">
        <f t="shared" si="14"/>
        <v/>
      </c>
      <c r="D246" s="41">
        <f t="shared" si="15"/>
        <v>1</v>
      </c>
      <c r="E246" s="62"/>
      <c r="F246" s="1" t="s">
        <v>254</v>
      </c>
      <c r="G246" s="1">
        <v>243</v>
      </c>
      <c r="H246" s="4" t="s">
        <v>769</v>
      </c>
      <c r="I246" s="4" t="str">
        <f>IF(ISERROR(VLOOKUP(H246,#REF!,9,0)),"",VLOOKUP(H246,#REF!,9,0))</f>
        <v/>
      </c>
      <c r="J246" s="42" t="s">
        <v>770</v>
      </c>
      <c r="K246" s="1" t="s">
        <v>248</v>
      </c>
      <c r="L246" s="1" t="s">
        <v>47</v>
      </c>
      <c r="M246" s="43">
        <v>2022</v>
      </c>
      <c r="N246" s="42"/>
      <c r="O246" s="43" t="s">
        <v>70</v>
      </c>
      <c r="P246" s="43"/>
      <c r="Q246" s="43"/>
      <c r="R246" s="43"/>
      <c r="S246" s="43"/>
      <c r="T246" s="43"/>
      <c r="U246" s="42"/>
    </row>
    <row r="247" spans="1:21" ht="21" customHeight="1" x14ac:dyDescent="0.3">
      <c r="A247" s="44" t="str">
        <f t="shared" si="12"/>
        <v>11</v>
      </c>
      <c r="B247" s="41">
        <f t="shared" si="13"/>
        <v>1</v>
      </c>
      <c r="C247" s="41" t="str">
        <f t="shared" si="14"/>
        <v/>
      </c>
      <c r="D247" s="41">
        <f t="shared" si="15"/>
        <v>1</v>
      </c>
      <c r="E247" s="62"/>
      <c r="F247" s="1" t="s">
        <v>254</v>
      </c>
      <c r="G247" s="1">
        <v>244</v>
      </c>
      <c r="H247" s="4" t="s">
        <v>771</v>
      </c>
      <c r="I247" s="4" t="str">
        <f>IF(ISERROR(VLOOKUP(H247,#REF!,9,0)),"",VLOOKUP(H247,#REF!,9,0))</f>
        <v/>
      </c>
      <c r="J247" s="42" t="s">
        <v>772</v>
      </c>
      <c r="K247" s="1" t="s">
        <v>248</v>
      </c>
      <c r="L247" s="1" t="s">
        <v>47</v>
      </c>
      <c r="M247" s="43">
        <v>2022</v>
      </c>
      <c r="N247" s="42"/>
      <c r="O247" s="43" t="s">
        <v>70</v>
      </c>
      <c r="P247" s="43"/>
      <c r="Q247" s="43"/>
      <c r="R247" s="43"/>
      <c r="S247" s="43"/>
      <c r="T247" s="43"/>
      <c r="U247" s="42"/>
    </row>
    <row r="248" spans="1:21" ht="21" customHeight="1" x14ac:dyDescent="0.3">
      <c r="A248" s="44" t="str">
        <f t="shared" si="12"/>
        <v>11</v>
      </c>
      <c r="B248" s="41">
        <f t="shared" si="13"/>
        <v>1</v>
      </c>
      <c r="C248" s="41" t="str">
        <f t="shared" si="14"/>
        <v/>
      </c>
      <c r="D248" s="41">
        <f t="shared" si="15"/>
        <v>1</v>
      </c>
      <c r="E248" s="62"/>
      <c r="F248" s="1" t="s">
        <v>254</v>
      </c>
      <c r="G248" s="1">
        <v>245</v>
      </c>
      <c r="H248" s="4" t="s">
        <v>773</v>
      </c>
      <c r="I248" s="4" t="str">
        <f>IF(ISERROR(VLOOKUP(H248,#REF!,9,0)),"",VLOOKUP(H248,#REF!,9,0))</f>
        <v/>
      </c>
      <c r="J248" s="42" t="s">
        <v>774</v>
      </c>
      <c r="K248" s="1" t="s">
        <v>248</v>
      </c>
      <c r="L248" s="1" t="s">
        <v>47</v>
      </c>
      <c r="M248" s="43">
        <v>2022</v>
      </c>
      <c r="N248" s="42"/>
      <c r="O248" s="43" t="s">
        <v>70</v>
      </c>
      <c r="P248" s="43"/>
      <c r="Q248" s="43"/>
      <c r="R248" s="43"/>
      <c r="S248" s="43"/>
      <c r="T248" s="43"/>
      <c r="U248" s="42"/>
    </row>
    <row r="249" spans="1:21" ht="21" customHeight="1" x14ac:dyDescent="0.3">
      <c r="A249" s="44" t="str">
        <f t="shared" si="12"/>
        <v>1</v>
      </c>
      <c r="B249" s="41">
        <f t="shared" si="13"/>
        <v>1</v>
      </c>
      <c r="C249" s="41" t="str">
        <f t="shared" si="14"/>
        <v/>
      </c>
      <c r="D249" s="41" t="str">
        <f t="shared" si="15"/>
        <v/>
      </c>
      <c r="E249" s="62"/>
      <c r="F249" s="1" t="s">
        <v>254</v>
      </c>
      <c r="G249" s="1">
        <v>246</v>
      </c>
      <c r="H249" s="4" t="s">
        <v>255</v>
      </c>
      <c r="I249" s="4" t="str">
        <f>IF(ISERROR(VLOOKUP(H249,#REF!,9,0)),"",VLOOKUP(H249,#REF!,9,0))</f>
        <v/>
      </c>
      <c r="J249" s="42"/>
      <c r="K249" s="1" t="s">
        <v>248</v>
      </c>
      <c r="L249" s="1" t="s">
        <v>522</v>
      </c>
      <c r="M249" s="43">
        <v>2022</v>
      </c>
      <c r="N249" s="42"/>
      <c r="O249" s="43" t="s">
        <v>70</v>
      </c>
      <c r="P249" s="43"/>
      <c r="Q249" s="43"/>
      <c r="R249" s="43"/>
      <c r="S249" s="43"/>
      <c r="T249" s="43"/>
      <c r="U249" s="42"/>
    </row>
    <row r="250" spans="1:21" ht="21" customHeight="1" x14ac:dyDescent="0.3">
      <c r="A250" s="44" t="str">
        <f t="shared" si="12"/>
        <v>1</v>
      </c>
      <c r="B250" s="41" t="str">
        <f t="shared" si="13"/>
        <v/>
      </c>
      <c r="C250" s="41" t="str">
        <f t="shared" si="14"/>
        <v/>
      </c>
      <c r="D250" s="41">
        <f t="shared" si="15"/>
        <v>1</v>
      </c>
      <c r="E250" s="62"/>
      <c r="F250" s="1" t="s">
        <v>254</v>
      </c>
      <c r="G250" s="1">
        <v>247</v>
      </c>
      <c r="H250" s="4"/>
      <c r="I250" s="4" t="str">
        <f>IF(ISERROR(VLOOKUP(H250,#REF!,9,0)),"",VLOOKUP(H250,#REF!,9,0))</f>
        <v/>
      </c>
      <c r="J250" s="42" t="s">
        <v>775</v>
      </c>
      <c r="K250" s="1" t="s">
        <v>248</v>
      </c>
      <c r="L250" s="1" t="s">
        <v>47</v>
      </c>
      <c r="M250" s="43">
        <v>2022</v>
      </c>
      <c r="N250" s="42"/>
      <c r="O250" s="43"/>
      <c r="P250" s="43"/>
      <c r="Q250" s="43"/>
      <c r="R250" s="43"/>
      <c r="S250" s="43"/>
      <c r="T250" s="43"/>
      <c r="U250" s="42"/>
    </row>
    <row r="251" spans="1:21" ht="21" customHeight="1" x14ac:dyDescent="0.3">
      <c r="A251" s="44" t="str">
        <f t="shared" si="12"/>
        <v>1</v>
      </c>
      <c r="B251" s="41">
        <f t="shared" si="13"/>
        <v>1</v>
      </c>
      <c r="C251" s="41" t="str">
        <f t="shared" si="14"/>
        <v/>
      </c>
      <c r="D251" s="41" t="str">
        <f t="shared" si="15"/>
        <v/>
      </c>
      <c r="E251" s="62"/>
      <c r="F251" s="1" t="s">
        <v>254</v>
      </c>
      <c r="G251" s="1">
        <v>248</v>
      </c>
      <c r="H251" s="4" t="s">
        <v>261</v>
      </c>
      <c r="I251" s="4" t="str">
        <f>IF(ISERROR(VLOOKUP(H251,#REF!,9,0)),"",VLOOKUP(H251,#REF!,9,0))</f>
        <v/>
      </c>
      <c r="J251" s="42"/>
      <c r="K251" s="1" t="s">
        <v>248</v>
      </c>
      <c r="L251" s="1" t="s">
        <v>521</v>
      </c>
      <c r="M251" s="43">
        <v>2022</v>
      </c>
      <c r="N251" s="42"/>
      <c r="O251" s="43" t="s">
        <v>70</v>
      </c>
      <c r="P251" s="43"/>
      <c r="Q251" s="43"/>
      <c r="R251" s="43"/>
      <c r="S251" s="43"/>
      <c r="T251" s="43"/>
      <c r="U251" s="42"/>
    </row>
    <row r="252" spans="1:21" ht="21" customHeight="1" x14ac:dyDescent="0.3">
      <c r="A252" s="44" t="str">
        <f t="shared" si="12"/>
        <v>1</v>
      </c>
      <c r="B252" s="41">
        <f t="shared" si="13"/>
        <v>1</v>
      </c>
      <c r="C252" s="41" t="str">
        <f t="shared" si="14"/>
        <v/>
      </c>
      <c r="D252" s="41" t="str">
        <f t="shared" si="15"/>
        <v/>
      </c>
      <c r="E252" s="62"/>
      <c r="F252" s="1" t="s">
        <v>264</v>
      </c>
      <c r="G252" s="1">
        <v>249</v>
      </c>
      <c r="H252" s="42" t="s">
        <v>265</v>
      </c>
      <c r="I252" s="4" t="str">
        <f>IF(ISERROR(VLOOKUP(H252,#REF!,9,0)),"",VLOOKUP(H252,#REF!,9,0))</f>
        <v/>
      </c>
      <c r="J252" s="42"/>
      <c r="K252" s="1" t="s">
        <v>248</v>
      </c>
      <c r="L252" s="1" t="s">
        <v>521</v>
      </c>
      <c r="M252" s="43">
        <v>2022</v>
      </c>
      <c r="N252" s="42"/>
      <c r="O252" s="43" t="s">
        <v>88</v>
      </c>
      <c r="P252" s="43"/>
      <c r="Q252" s="43"/>
      <c r="R252" s="43"/>
      <c r="S252" s="43"/>
      <c r="T252" s="43"/>
      <c r="U252" s="42"/>
    </row>
    <row r="253" spans="1:21" ht="21" customHeight="1" x14ac:dyDescent="0.3">
      <c r="A253" s="44" t="str">
        <f t="shared" si="12"/>
        <v>1</v>
      </c>
      <c r="B253" s="41">
        <f t="shared" si="13"/>
        <v>1</v>
      </c>
      <c r="C253" s="41" t="str">
        <f t="shared" si="14"/>
        <v/>
      </c>
      <c r="D253" s="41" t="str">
        <f t="shared" si="15"/>
        <v/>
      </c>
      <c r="E253" s="62"/>
      <c r="F253" s="1" t="s">
        <v>264</v>
      </c>
      <c r="G253" s="1">
        <v>250</v>
      </c>
      <c r="H253" s="42" t="s">
        <v>776</v>
      </c>
      <c r="I253" s="4" t="str">
        <f>IF(ISERROR(VLOOKUP(H253,#REF!,9,0)),"",VLOOKUP(H253,#REF!,9,0))</f>
        <v/>
      </c>
      <c r="J253" s="42"/>
      <c r="K253" s="1" t="s">
        <v>248</v>
      </c>
      <c r="L253" s="1" t="s">
        <v>47</v>
      </c>
      <c r="M253" s="43">
        <v>2022</v>
      </c>
      <c r="N253" s="42"/>
      <c r="O253" s="43" t="s">
        <v>88</v>
      </c>
      <c r="P253" s="43"/>
      <c r="Q253" s="43"/>
      <c r="R253" s="43"/>
      <c r="S253" s="43"/>
      <c r="T253" s="43"/>
      <c r="U253" s="42"/>
    </row>
    <row r="254" spans="1:21" ht="21" customHeight="1" x14ac:dyDescent="0.3">
      <c r="A254" s="44" t="str">
        <f t="shared" si="12"/>
        <v>1</v>
      </c>
      <c r="B254" s="41">
        <f t="shared" si="13"/>
        <v>1</v>
      </c>
      <c r="C254" s="41" t="str">
        <f t="shared" si="14"/>
        <v/>
      </c>
      <c r="D254" s="41" t="str">
        <f t="shared" si="15"/>
        <v/>
      </c>
      <c r="E254" s="62"/>
      <c r="F254" s="1" t="s">
        <v>264</v>
      </c>
      <c r="G254" s="1">
        <v>251</v>
      </c>
      <c r="H254" s="42" t="s">
        <v>777</v>
      </c>
      <c r="I254" s="4" t="str">
        <f>IF(ISERROR(VLOOKUP(H254,#REF!,9,0)),"",VLOOKUP(H254,#REF!,9,0))</f>
        <v/>
      </c>
      <c r="J254" s="42"/>
      <c r="K254" s="1" t="s">
        <v>248</v>
      </c>
      <c r="L254" s="1" t="s">
        <v>47</v>
      </c>
      <c r="M254" s="43">
        <v>2022</v>
      </c>
      <c r="N254" s="42"/>
      <c r="O254" s="43" t="s">
        <v>88</v>
      </c>
      <c r="P254" s="43"/>
      <c r="Q254" s="43"/>
      <c r="R254" s="43"/>
      <c r="S254" s="43"/>
      <c r="T254" s="43"/>
      <c r="U254" s="42"/>
    </row>
    <row r="255" spans="1:21" ht="21" customHeight="1" x14ac:dyDescent="0.3">
      <c r="A255" s="44" t="str">
        <f t="shared" si="12"/>
        <v>1</v>
      </c>
      <c r="B255" s="41">
        <f t="shared" si="13"/>
        <v>1</v>
      </c>
      <c r="C255" s="41" t="str">
        <f t="shared" si="14"/>
        <v/>
      </c>
      <c r="D255" s="41" t="str">
        <f t="shared" si="15"/>
        <v/>
      </c>
      <c r="E255" s="62"/>
      <c r="F255" s="1" t="s">
        <v>264</v>
      </c>
      <c r="G255" s="1">
        <v>252</v>
      </c>
      <c r="H255" s="42" t="s">
        <v>778</v>
      </c>
      <c r="I255" s="4" t="str">
        <f>IF(ISERROR(VLOOKUP(H255,#REF!,9,0)),"",VLOOKUP(H255,#REF!,9,0))</f>
        <v/>
      </c>
      <c r="J255" s="42"/>
      <c r="K255" s="1" t="s">
        <v>248</v>
      </c>
      <c r="L255" s="1" t="s">
        <v>47</v>
      </c>
      <c r="M255" s="43">
        <v>2022</v>
      </c>
      <c r="N255" s="42"/>
      <c r="O255" s="43" t="s">
        <v>88</v>
      </c>
      <c r="P255" s="43"/>
      <c r="Q255" s="43"/>
      <c r="R255" s="43"/>
      <c r="S255" s="43"/>
      <c r="T255" s="43"/>
      <c r="U255" s="42"/>
    </row>
    <row r="256" spans="1:21" ht="21" customHeight="1" x14ac:dyDescent="0.3">
      <c r="A256" s="44" t="str">
        <f t="shared" si="12"/>
        <v>1</v>
      </c>
      <c r="B256" s="41">
        <f t="shared" si="13"/>
        <v>1</v>
      </c>
      <c r="C256" s="41" t="str">
        <f t="shared" si="14"/>
        <v/>
      </c>
      <c r="D256" s="41" t="str">
        <f t="shared" si="15"/>
        <v/>
      </c>
      <c r="E256" s="62"/>
      <c r="F256" s="1" t="s">
        <v>264</v>
      </c>
      <c r="G256" s="1">
        <v>253</v>
      </c>
      <c r="H256" s="42" t="s">
        <v>779</v>
      </c>
      <c r="I256" s="4" t="str">
        <f>IF(ISERROR(VLOOKUP(H256,#REF!,9,0)),"",VLOOKUP(H256,#REF!,9,0))</f>
        <v/>
      </c>
      <c r="J256" s="42"/>
      <c r="K256" s="1" t="s">
        <v>248</v>
      </c>
      <c r="L256" s="1" t="s">
        <v>47</v>
      </c>
      <c r="M256" s="43">
        <v>2022</v>
      </c>
      <c r="N256" s="42"/>
      <c r="O256" s="43" t="s">
        <v>88</v>
      </c>
      <c r="P256" s="43"/>
      <c r="Q256" s="43"/>
      <c r="R256" s="43"/>
      <c r="S256" s="43"/>
      <c r="T256" s="43"/>
      <c r="U256" s="42"/>
    </row>
    <row r="257" spans="1:21" ht="21" customHeight="1" x14ac:dyDescent="0.3">
      <c r="A257" s="44" t="str">
        <f t="shared" si="12"/>
        <v>1</v>
      </c>
      <c r="B257" s="41">
        <f t="shared" si="13"/>
        <v>1</v>
      </c>
      <c r="C257" s="41" t="str">
        <f t="shared" si="14"/>
        <v/>
      </c>
      <c r="D257" s="41" t="str">
        <f t="shared" si="15"/>
        <v/>
      </c>
      <c r="E257" s="62"/>
      <c r="F257" s="1" t="s">
        <v>264</v>
      </c>
      <c r="G257" s="1">
        <v>254</v>
      </c>
      <c r="H257" s="42" t="s">
        <v>780</v>
      </c>
      <c r="I257" s="4" t="str">
        <f>IF(ISERROR(VLOOKUP(H257,#REF!,9,0)),"",VLOOKUP(H257,#REF!,9,0))</f>
        <v/>
      </c>
      <c r="J257" s="42"/>
      <c r="K257" s="1" t="s">
        <v>248</v>
      </c>
      <c r="L257" s="1" t="s">
        <v>47</v>
      </c>
      <c r="M257" s="43">
        <v>2022</v>
      </c>
      <c r="N257" s="42"/>
      <c r="O257" s="43" t="s">
        <v>88</v>
      </c>
      <c r="P257" s="43"/>
      <c r="Q257" s="43"/>
      <c r="R257" s="43"/>
      <c r="S257" s="43"/>
      <c r="T257" s="43"/>
      <c r="U257" s="42"/>
    </row>
    <row r="258" spans="1:21" ht="21" customHeight="1" x14ac:dyDescent="0.3">
      <c r="A258" s="44" t="str">
        <f t="shared" si="12"/>
        <v>1</v>
      </c>
      <c r="B258" s="41">
        <f t="shared" si="13"/>
        <v>1</v>
      </c>
      <c r="C258" s="41" t="str">
        <f t="shared" si="14"/>
        <v/>
      </c>
      <c r="D258" s="41" t="str">
        <f t="shared" si="15"/>
        <v/>
      </c>
      <c r="E258" s="62"/>
      <c r="F258" s="1" t="s">
        <v>264</v>
      </c>
      <c r="G258" s="1">
        <v>255</v>
      </c>
      <c r="H258" s="42" t="s">
        <v>781</v>
      </c>
      <c r="I258" s="4" t="str">
        <f>IF(ISERROR(VLOOKUP(H258,#REF!,9,0)),"",VLOOKUP(H258,#REF!,9,0))</f>
        <v/>
      </c>
      <c r="J258" s="42"/>
      <c r="K258" s="1" t="s">
        <v>248</v>
      </c>
      <c r="L258" s="1" t="s">
        <v>47</v>
      </c>
      <c r="M258" s="43">
        <v>2022</v>
      </c>
      <c r="N258" s="42"/>
      <c r="O258" s="43" t="s">
        <v>88</v>
      </c>
      <c r="P258" s="43"/>
      <c r="Q258" s="43"/>
      <c r="R258" s="43"/>
      <c r="S258" s="43"/>
      <c r="T258" s="43"/>
      <c r="U258" s="42"/>
    </row>
    <row r="259" spans="1:21" ht="21" customHeight="1" x14ac:dyDescent="0.3">
      <c r="A259" s="44" t="str">
        <f t="shared" si="12"/>
        <v>1</v>
      </c>
      <c r="B259" s="41">
        <f t="shared" si="13"/>
        <v>1</v>
      </c>
      <c r="C259" s="41" t="str">
        <f t="shared" si="14"/>
        <v/>
      </c>
      <c r="D259" s="41" t="str">
        <f t="shared" si="15"/>
        <v/>
      </c>
      <c r="E259" s="62"/>
      <c r="F259" s="1" t="s">
        <v>264</v>
      </c>
      <c r="G259" s="1">
        <v>256</v>
      </c>
      <c r="H259" s="42" t="s">
        <v>782</v>
      </c>
      <c r="I259" s="4" t="str">
        <f>IF(ISERROR(VLOOKUP(H259,#REF!,9,0)),"",VLOOKUP(H259,#REF!,9,0))</f>
        <v/>
      </c>
      <c r="J259" s="42"/>
      <c r="K259" s="1" t="s">
        <v>248</v>
      </c>
      <c r="L259" s="1" t="s">
        <v>47</v>
      </c>
      <c r="M259" s="43">
        <v>2022</v>
      </c>
      <c r="N259" s="42"/>
      <c r="O259" s="43" t="s">
        <v>88</v>
      </c>
      <c r="P259" s="43"/>
      <c r="Q259" s="43"/>
      <c r="R259" s="43"/>
      <c r="S259" s="43"/>
      <c r="T259" s="43"/>
      <c r="U259" s="42"/>
    </row>
    <row r="260" spans="1:21" ht="21" customHeight="1" x14ac:dyDescent="0.3">
      <c r="A260" s="44" t="str">
        <f t="shared" ref="A260:A323" si="16">B260&amp;D260</f>
        <v>1</v>
      </c>
      <c r="B260" s="41" t="str">
        <f t="shared" ref="B260:B323" si="17">IF(H260="","",1)</f>
        <v/>
      </c>
      <c r="C260" s="41" t="str">
        <f t="shared" ref="C260:C323" si="18">IF(I260="","",1)</f>
        <v/>
      </c>
      <c r="D260" s="41">
        <f t="shared" ref="D260:D323" si="19">IF(J260="","",1)</f>
        <v>1</v>
      </c>
      <c r="E260" s="62"/>
      <c r="F260" s="1" t="s">
        <v>264</v>
      </c>
      <c r="G260" s="1">
        <v>257</v>
      </c>
      <c r="H260" s="42"/>
      <c r="I260" s="4" t="str">
        <f>IF(ISERROR(VLOOKUP(H260,#REF!,9,0)),"",VLOOKUP(H260,#REF!,9,0))</f>
        <v/>
      </c>
      <c r="J260" s="42" t="s">
        <v>783</v>
      </c>
      <c r="K260" s="1" t="s">
        <v>248</v>
      </c>
      <c r="L260" s="1" t="s">
        <v>47</v>
      </c>
      <c r="M260" s="43">
        <v>2022</v>
      </c>
      <c r="N260" s="42"/>
      <c r="O260" s="43" t="s">
        <v>88</v>
      </c>
      <c r="P260" s="43"/>
      <c r="Q260" s="43"/>
      <c r="R260" s="43"/>
      <c r="S260" s="43"/>
      <c r="T260" s="43"/>
      <c r="U260" s="42"/>
    </row>
    <row r="261" spans="1:21" ht="21" customHeight="1" x14ac:dyDescent="0.3">
      <c r="A261" s="44" t="str">
        <f t="shared" si="16"/>
        <v>1</v>
      </c>
      <c r="B261" s="41" t="str">
        <f t="shared" si="17"/>
        <v/>
      </c>
      <c r="C261" s="41" t="str">
        <f t="shared" si="18"/>
        <v/>
      </c>
      <c r="D261" s="41">
        <f t="shared" si="19"/>
        <v>1</v>
      </c>
      <c r="E261" s="62"/>
      <c r="F261" s="1" t="s">
        <v>264</v>
      </c>
      <c r="G261" s="1">
        <v>258</v>
      </c>
      <c r="H261" s="42"/>
      <c r="I261" s="4" t="str">
        <f>IF(ISERROR(VLOOKUP(H261,#REF!,9,0)),"",VLOOKUP(H261,#REF!,9,0))</f>
        <v/>
      </c>
      <c r="J261" s="42" t="s">
        <v>784</v>
      </c>
      <c r="K261" s="1" t="s">
        <v>248</v>
      </c>
      <c r="L261" s="1" t="s">
        <v>47</v>
      </c>
      <c r="M261" s="43">
        <v>2022</v>
      </c>
      <c r="N261" s="42"/>
      <c r="O261" s="43" t="s">
        <v>88</v>
      </c>
      <c r="P261" s="43"/>
      <c r="Q261" s="43"/>
      <c r="R261" s="43"/>
      <c r="S261" s="43"/>
      <c r="T261" s="43"/>
      <c r="U261" s="42"/>
    </row>
    <row r="262" spans="1:21" ht="21" customHeight="1" x14ac:dyDescent="0.3">
      <c r="A262" s="44" t="str">
        <f t="shared" si="16"/>
        <v>1</v>
      </c>
      <c r="B262" s="41" t="str">
        <f t="shared" si="17"/>
        <v/>
      </c>
      <c r="C262" s="41" t="str">
        <f t="shared" si="18"/>
        <v/>
      </c>
      <c r="D262" s="41">
        <f t="shared" si="19"/>
        <v>1</v>
      </c>
      <c r="E262" s="62"/>
      <c r="F262" s="1" t="s">
        <v>264</v>
      </c>
      <c r="G262" s="1">
        <v>259</v>
      </c>
      <c r="H262" s="42"/>
      <c r="I262" s="4" t="str">
        <f>IF(ISERROR(VLOOKUP(H262,#REF!,9,0)),"",VLOOKUP(H262,#REF!,9,0))</f>
        <v/>
      </c>
      <c r="J262" s="42" t="s">
        <v>785</v>
      </c>
      <c r="K262" s="1" t="s">
        <v>248</v>
      </c>
      <c r="L262" s="1" t="s">
        <v>47</v>
      </c>
      <c r="M262" s="43">
        <v>2022</v>
      </c>
      <c r="N262" s="42"/>
      <c r="O262" s="43" t="s">
        <v>88</v>
      </c>
      <c r="P262" s="43"/>
      <c r="Q262" s="43"/>
      <c r="R262" s="43"/>
      <c r="S262" s="43"/>
      <c r="T262" s="43"/>
      <c r="U262" s="42"/>
    </row>
    <row r="263" spans="1:21" ht="21" customHeight="1" x14ac:dyDescent="0.3">
      <c r="A263" s="44" t="str">
        <f t="shared" si="16"/>
        <v>1</v>
      </c>
      <c r="B263" s="41" t="str">
        <f t="shared" si="17"/>
        <v/>
      </c>
      <c r="C263" s="41" t="str">
        <f t="shared" si="18"/>
        <v/>
      </c>
      <c r="D263" s="41">
        <f t="shared" si="19"/>
        <v>1</v>
      </c>
      <c r="E263" s="62"/>
      <c r="F263" s="1" t="s">
        <v>264</v>
      </c>
      <c r="G263" s="1">
        <v>260</v>
      </c>
      <c r="H263" s="42"/>
      <c r="I263" s="4" t="str">
        <f>IF(ISERROR(VLOOKUP(H263,#REF!,9,0)),"",VLOOKUP(H263,#REF!,9,0))</f>
        <v/>
      </c>
      <c r="J263" s="42" t="s">
        <v>786</v>
      </c>
      <c r="K263" s="1" t="s">
        <v>248</v>
      </c>
      <c r="L263" s="1" t="s">
        <v>47</v>
      </c>
      <c r="M263" s="43">
        <v>2022</v>
      </c>
      <c r="N263" s="42"/>
      <c r="O263" s="43" t="s">
        <v>88</v>
      </c>
      <c r="P263" s="43"/>
      <c r="Q263" s="43"/>
      <c r="R263" s="43"/>
      <c r="S263" s="43"/>
      <c r="T263" s="43"/>
      <c r="U263" s="42"/>
    </row>
    <row r="264" spans="1:21" ht="21" customHeight="1" x14ac:dyDescent="0.3">
      <c r="A264" s="44" t="str">
        <f t="shared" si="16"/>
        <v>1</v>
      </c>
      <c r="B264" s="41">
        <f t="shared" si="17"/>
        <v>1</v>
      </c>
      <c r="C264" s="41" t="str">
        <f t="shared" si="18"/>
        <v/>
      </c>
      <c r="D264" s="41" t="str">
        <f t="shared" si="19"/>
        <v/>
      </c>
      <c r="E264" s="62"/>
      <c r="F264" s="1" t="s">
        <v>266</v>
      </c>
      <c r="G264" s="1">
        <v>261</v>
      </c>
      <c r="H264" s="4" t="s">
        <v>267</v>
      </c>
      <c r="I264" s="4" t="str">
        <f>IF(ISERROR(VLOOKUP(H264,#REF!,9,0)),"",VLOOKUP(H264,#REF!,9,0))</f>
        <v/>
      </c>
      <c r="J264" s="42"/>
      <c r="K264" s="1" t="s">
        <v>248</v>
      </c>
      <c r="L264" s="1" t="s">
        <v>521</v>
      </c>
      <c r="M264" s="43">
        <v>2022</v>
      </c>
      <c r="N264" s="42"/>
      <c r="O264" s="43" t="s">
        <v>70</v>
      </c>
      <c r="P264" s="43"/>
      <c r="Q264" s="43"/>
      <c r="R264" s="43"/>
      <c r="S264" s="43"/>
      <c r="T264" s="43"/>
      <c r="U264" s="42"/>
    </row>
    <row r="265" spans="1:21" ht="21" customHeight="1" x14ac:dyDescent="0.3">
      <c r="A265" s="44" t="str">
        <f t="shared" si="16"/>
        <v>1</v>
      </c>
      <c r="B265" s="41">
        <f t="shared" si="17"/>
        <v>1</v>
      </c>
      <c r="C265" s="41" t="str">
        <f t="shared" si="18"/>
        <v/>
      </c>
      <c r="D265" s="41" t="str">
        <f t="shared" si="19"/>
        <v/>
      </c>
      <c r="E265" s="62"/>
      <c r="F265" s="1" t="s">
        <v>266</v>
      </c>
      <c r="G265" s="1">
        <v>262</v>
      </c>
      <c r="H265" s="45" t="s">
        <v>268</v>
      </c>
      <c r="I265" s="4" t="str">
        <f>IF(ISERROR(VLOOKUP(H265,#REF!,9,0)),"",VLOOKUP(H265,#REF!,9,0))</f>
        <v/>
      </c>
      <c r="J265" s="42"/>
      <c r="K265" s="1" t="s">
        <v>248</v>
      </c>
      <c r="L265" s="1" t="s">
        <v>521</v>
      </c>
      <c r="M265" s="43">
        <v>2022</v>
      </c>
      <c r="N265" s="42"/>
      <c r="O265" s="43" t="s">
        <v>70</v>
      </c>
      <c r="P265" s="43"/>
      <c r="Q265" s="43"/>
      <c r="R265" s="43"/>
      <c r="S265" s="43"/>
      <c r="T265" s="43"/>
      <c r="U265" s="42"/>
    </row>
    <row r="266" spans="1:21" ht="21" customHeight="1" x14ac:dyDescent="0.3">
      <c r="A266" s="44" t="str">
        <f t="shared" si="16"/>
        <v>1</v>
      </c>
      <c r="B266" s="41">
        <f t="shared" si="17"/>
        <v>1</v>
      </c>
      <c r="C266" s="41" t="str">
        <f t="shared" si="18"/>
        <v/>
      </c>
      <c r="D266" s="41" t="str">
        <f t="shared" si="19"/>
        <v/>
      </c>
      <c r="E266" s="62"/>
      <c r="F266" s="1" t="s">
        <v>266</v>
      </c>
      <c r="G266" s="1">
        <v>263</v>
      </c>
      <c r="H266" s="45" t="s">
        <v>269</v>
      </c>
      <c r="I266" s="4" t="str">
        <f>IF(ISERROR(VLOOKUP(H266,#REF!,9,0)),"",VLOOKUP(H266,#REF!,9,0))</f>
        <v/>
      </c>
      <c r="J266" s="42"/>
      <c r="K266" s="1" t="s">
        <v>248</v>
      </c>
      <c r="L266" s="1" t="s">
        <v>521</v>
      </c>
      <c r="M266" s="43">
        <v>2022</v>
      </c>
      <c r="N266" s="42"/>
      <c r="O266" s="43" t="s">
        <v>70</v>
      </c>
      <c r="P266" s="43"/>
      <c r="Q266" s="43"/>
      <c r="R266" s="43"/>
      <c r="S266" s="43"/>
      <c r="T266" s="43"/>
      <c r="U266" s="42"/>
    </row>
    <row r="267" spans="1:21" ht="21" customHeight="1" x14ac:dyDescent="0.3">
      <c r="A267" s="44" t="str">
        <f t="shared" si="16"/>
        <v>1</v>
      </c>
      <c r="B267" s="41">
        <f t="shared" si="17"/>
        <v>1</v>
      </c>
      <c r="C267" s="41" t="str">
        <f t="shared" si="18"/>
        <v/>
      </c>
      <c r="D267" s="41" t="str">
        <f t="shared" si="19"/>
        <v/>
      </c>
      <c r="E267" s="62"/>
      <c r="F267" s="1" t="s">
        <v>266</v>
      </c>
      <c r="G267" s="1">
        <v>264</v>
      </c>
      <c r="H267" s="45" t="s">
        <v>270</v>
      </c>
      <c r="I267" s="4" t="str">
        <f>IF(ISERROR(VLOOKUP(H267,#REF!,9,0)),"",VLOOKUP(H267,#REF!,9,0))</f>
        <v/>
      </c>
      <c r="J267" s="42"/>
      <c r="K267" s="1" t="s">
        <v>248</v>
      </c>
      <c r="L267" s="1" t="s">
        <v>521</v>
      </c>
      <c r="M267" s="43">
        <v>2022</v>
      </c>
      <c r="N267" s="42"/>
      <c r="O267" s="43" t="s">
        <v>70</v>
      </c>
      <c r="P267" s="43"/>
      <c r="Q267" s="43"/>
      <c r="R267" s="43"/>
      <c r="S267" s="43"/>
      <c r="T267" s="43"/>
      <c r="U267" s="42"/>
    </row>
    <row r="268" spans="1:21" ht="21" customHeight="1" x14ac:dyDescent="0.3">
      <c r="A268" s="44" t="str">
        <f t="shared" si="16"/>
        <v>1</v>
      </c>
      <c r="B268" s="41">
        <f t="shared" si="17"/>
        <v>1</v>
      </c>
      <c r="C268" s="41" t="str">
        <f t="shared" si="18"/>
        <v/>
      </c>
      <c r="D268" s="41" t="str">
        <f t="shared" si="19"/>
        <v/>
      </c>
      <c r="E268" s="62"/>
      <c r="F268" s="1" t="s">
        <v>266</v>
      </c>
      <c r="G268" s="1">
        <v>265</v>
      </c>
      <c r="H268" s="45" t="s">
        <v>271</v>
      </c>
      <c r="I268" s="4" t="str">
        <f>IF(ISERROR(VLOOKUP(H268,#REF!,9,0)),"",VLOOKUP(H268,#REF!,9,0))</f>
        <v/>
      </c>
      <c r="J268" s="42"/>
      <c r="K268" s="1" t="s">
        <v>248</v>
      </c>
      <c r="L268" s="1" t="s">
        <v>521</v>
      </c>
      <c r="M268" s="43">
        <v>2022</v>
      </c>
      <c r="N268" s="42"/>
      <c r="O268" s="43" t="s">
        <v>70</v>
      </c>
      <c r="P268" s="43"/>
      <c r="Q268" s="43"/>
      <c r="R268" s="43"/>
      <c r="S268" s="43"/>
      <c r="T268" s="43"/>
      <c r="U268" s="42"/>
    </row>
    <row r="269" spans="1:21" ht="21" customHeight="1" x14ac:dyDescent="0.3">
      <c r="A269" s="44" t="str">
        <f t="shared" si="16"/>
        <v>1</v>
      </c>
      <c r="B269" s="41">
        <f t="shared" si="17"/>
        <v>1</v>
      </c>
      <c r="C269" s="41" t="str">
        <f t="shared" si="18"/>
        <v/>
      </c>
      <c r="D269" s="41" t="str">
        <f t="shared" si="19"/>
        <v/>
      </c>
      <c r="E269" s="62"/>
      <c r="F269" s="1" t="s">
        <v>266</v>
      </c>
      <c r="G269" s="1">
        <v>266</v>
      </c>
      <c r="H269" s="45" t="s">
        <v>272</v>
      </c>
      <c r="I269" s="4" t="str">
        <f>IF(ISERROR(VLOOKUP(H269,#REF!,9,0)),"",VLOOKUP(H269,#REF!,9,0))</f>
        <v/>
      </c>
      <c r="J269" s="42"/>
      <c r="K269" s="1" t="s">
        <v>248</v>
      </c>
      <c r="L269" s="1" t="s">
        <v>521</v>
      </c>
      <c r="M269" s="43">
        <v>2022</v>
      </c>
      <c r="N269" s="42"/>
      <c r="O269" s="43" t="s">
        <v>70</v>
      </c>
      <c r="P269" s="43"/>
      <c r="Q269" s="43"/>
      <c r="R269" s="43"/>
      <c r="S269" s="43"/>
      <c r="T269" s="43"/>
      <c r="U269" s="42"/>
    </row>
    <row r="270" spans="1:21" ht="21" customHeight="1" x14ac:dyDescent="0.3">
      <c r="A270" s="44" t="str">
        <f t="shared" si="16"/>
        <v>1</v>
      </c>
      <c r="B270" s="41">
        <f t="shared" si="17"/>
        <v>1</v>
      </c>
      <c r="C270" s="41" t="str">
        <f t="shared" si="18"/>
        <v/>
      </c>
      <c r="D270" s="41" t="str">
        <f t="shared" si="19"/>
        <v/>
      </c>
      <c r="E270" s="62"/>
      <c r="F270" s="1" t="s">
        <v>266</v>
      </c>
      <c r="G270" s="1">
        <v>267</v>
      </c>
      <c r="H270" s="45" t="s">
        <v>273</v>
      </c>
      <c r="I270" s="4" t="str">
        <f>IF(ISERROR(VLOOKUP(H270,#REF!,9,0)),"",VLOOKUP(H270,#REF!,9,0))</f>
        <v/>
      </c>
      <c r="J270" s="42"/>
      <c r="K270" s="1" t="s">
        <v>248</v>
      </c>
      <c r="L270" s="1" t="s">
        <v>521</v>
      </c>
      <c r="M270" s="43">
        <v>2022</v>
      </c>
      <c r="N270" s="42"/>
      <c r="O270" s="43" t="s">
        <v>70</v>
      </c>
      <c r="P270" s="43"/>
      <c r="Q270" s="43"/>
      <c r="R270" s="43"/>
      <c r="S270" s="43"/>
      <c r="T270" s="43"/>
      <c r="U270" s="42"/>
    </row>
    <row r="271" spans="1:21" ht="21" customHeight="1" x14ac:dyDescent="0.3">
      <c r="A271" s="44" t="str">
        <f t="shared" si="16"/>
        <v>1</v>
      </c>
      <c r="B271" s="41">
        <f t="shared" si="17"/>
        <v>1</v>
      </c>
      <c r="C271" s="41" t="str">
        <f t="shared" si="18"/>
        <v/>
      </c>
      <c r="D271" s="41" t="str">
        <f t="shared" si="19"/>
        <v/>
      </c>
      <c r="E271" s="62"/>
      <c r="F271" s="1" t="s">
        <v>266</v>
      </c>
      <c r="G271" s="1">
        <v>268</v>
      </c>
      <c r="H271" s="45" t="s">
        <v>274</v>
      </c>
      <c r="I271" s="4" t="str">
        <f>IF(ISERROR(VLOOKUP(H271,#REF!,9,0)),"",VLOOKUP(H271,#REF!,9,0))</f>
        <v/>
      </c>
      <c r="J271" s="42"/>
      <c r="K271" s="1" t="s">
        <v>248</v>
      </c>
      <c r="L271" s="1" t="s">
        <v>521</v>
      </c>
      <c r="M271" s="43">
        <v>2022</v>
      </c>
      <c r="N271" s="42"/>
      <c r="O271" s="43" t="s">
        <v>70</v>
      </c>
      <c r="P271" s="43"/>
      <c r="Q271" s="43"/>
      <c r="R271" s="43"/>
      <c r="S271" s="43"/>
      <c r="T271" s="43"/>
      <c r="U271" s="42"/>
    </row>
    <row r="272" spans="1:21" ht="21" customHeight="1" x14ac:dyDescent="0.3">
      <c r="A272" s="44" t="str">
        <f t="shared" si="16"/>
        <v>1</v>
      </c>
      <c r="B272" s="41">
        <f t="shared" si="17"/>
        <v>1</v>
      </c>
      <c r="C272" s="41" t="str">
        <f t="shared" si="18"/>
        <v/>
      </c>
      <c r="D272" s="41" t="str">
        <f t="shared" si="19"/>
        <v/>
      </c>
      <c r="E272" s="62"/>
      <c r="F272" s="1" t="s">
        <v>266</v>
      </c>
      <c r="G272" s="1">
        <v>269</v>
      </c>
      <c r="H272" s="45" t="s">
        <v>274</v>
      </c>
      <c r="I272" s="4" t="str">
        <f>IF(ISERROR(VLOOKUP(H272,#REF!,9,0)),"",VLOOKUP(H272,#REF!,9,0))</f>
        <v/>
      </c>
      <c r="J272" s="42"/>
      <c r="K272" s="1" t="s">
        <v>248</v>
      </c>
      <c r="L272" s="1" t="s">
        <v>521</v>
      </c>
      <c r="M272" s="43">
        <v>2022</v>
      </c>
      <c r="N272" s="42"/>
      <c r="O272" s="43" t="s">
        <v>70</v>
      </c>
      <c r="P272" s="43"/>
      <c r="Q272" s="43"/>
      <c r="R272" s="43"/>
      <c r="S272" s="43"/>
      <c r="T272" s="43"/>
      <c r="U272" s="42"/>
    </row>
    <row r="273" spans="1:21" ht="21" customHeight="1" x14ac:dyDescent="0.3">
      <c r="A273" s="44" t="str">
        <f t="shared" si="16"/>
        <v>1</v>
      </c>
      <c r="B273" s="41">
        <f t="shared" si="17"/>
        <v>1</v>
      </c>
      <c r="C273" s="41" t="str">
        <f t="shared" si="18"/>
        <v/>
      </c>
      <c r="D273" s="41" t="str">
        <f t="shared" si="19"/>
        <v/>
      </c>
      <c r="E273" s="62"/>
      <c r="F273" s="1" t="s">
        <v>266</v>
      </c>
      <c r="G273" s="1">
        <v>270</v>
      </c>
      <c r="H273" s="45" t="s">
        <v>275</v>
      </c>
      <c r="I273" s="4" t="str">
        <f>IF(ISERROR(VLOOKUP(H273,#REF!,9,0)),"",VLOOKUP(H273,#REF!,9,0))</f>
        <v/>
      </c>
      <c r="J273" s="42"/>
      <c r="K273" s="1" t="s">
        <v>248</v>
      </c>
      <c r="L273" s="1" t="s">
        <v>521</v>
      </c>
      <c r="M273" s="43">
        <v>2022</v>
      </c>
      <c r="N273" s="42"/>
      <c r="O273" s="43" t="s">
        <v>70</v>
      </c>
      <c r="P273" s="43"/>
      <c r="Q273" s="43"/>
      <c r="R273" s="43"/>
      <c r="S273" s="43"/>
      <c r="T273" s="43"/>
      <c r="U273" s="42"/>
    </row>
    <row r="274" spans="1:21" ht="21" customHeight="1" x14ac:dyDescent="0.3">
      <c r="A274" s="44" t="str">
        <f t="shared" si="16"/>
        <v>11</v>
      </c>
      <c r="B274" s="41">
        <f t="shared" si="17"/>
        <v>1</v>
      </c>
      <c r="C274" s="41" t="str">
        <f t="shared" si="18"/>
        <v/>
      </c>
      <c r="D274" s="41">
        <f t="shared" si="19"/>
        <v>1</v>
      </c>
      <c r="E274" s="62"/>
      <c r="F274" s="1" t="s">
        <v>787</v>
      </c>
      <c r="G274" s="1">
        <v>271</v>
      </c>
      <c r="H274" s="4" t="s">
        <v>788</v>
      </c>
      <c r="I274" s="4" t="str">
        <f>IF(ISERROR(VLOOKUP(H274,#REF!,9,0)),"",VLOOKUP(H274,#REF!,9,0))</f>
        <v/>
      </c>
      <c r="J274" s="42" t="s">
        <v>789</v>
      </c>
      <c r="K274" s="1" t="s">
        <v>248</v>
      </c>
      <c r="L274" s="1" t="s">
        <v>47</v>
      </c>
      <c r="M274" s="43">
        <v>2022</v>
      </c>
      <c r="N274" s="42" t="s">
        <v>790</v>
      </c>
      <c r="O274" s="43" t="s">
        <v>70</v>
      </c>
      <c r="P274" s="43"/>
      <c r="Q274" s="43"/>
      <c r="R274" s="43"/>
      <c r="S274" s="43"/>
      <c r="T274" s="43"/>
      <c r="U274" s="42"/>
    </row>
    <row r="275" spans="1:21" ht="21" customHeight="1" x14ac:dyDescent="0.3">
      <c r="A275" s="44" t="str">
        <f t="shared" si="16"/>
        <v>11</v>
      </c>
      <c r="B275" s="41">
        <f t="shared" si="17"/>
        <v>1</v>
      </c>
      <c r="C275" s="41" t="str">
        <f t="shared" si="18"/>
        <v/>
      </c>
      <c r="D275" s="41">
        <f t="shared" si="19"/>
        <v>1</v>
      </c>
      <c r="E275" s="62"/>
      <c r="F275" s="1" t="s">
        <v>787</v>
      </c>
      <c r="G275" s="1">
        <v>272</v>
      </c>
      <c r="H275" s="4" t="s">
        <v>791</v>
      </c>
      <c r="I275" s="4" t="str">
        <f>IF(ISERROR(VLOOKUP(H275,#REF!,9,0)),"",VLOOKUP(H275,#REF!,9,0))</f>
        <v/>
      </c>
      <c r="J275" s="42" t="s">
        <v>792</v>
      </c>
      <c r="K275" s="1" t="s">
        <v>248</v>
      </c>
      <c r="L275" s="1" t="s">
        <v>47</v>
      </c>
      <c r="M275" s="43">
        <v>2022</v>
      </c>
      <c r="N275" s="42"/>
      <c r="O275" s="43" t="s">
        <v>70</v>
      </c>
      <c r="P275" s="43"/>
      <c r="Q275" s="43"/>
      <c r="R275" s="43"/>
      <c r="S275" s="43"/>
      <c r="T275" s="43"/>
      <c r="U275" s="42"/>
    </row>
    <row r="276" spans="1:21" ht="21" customHeight="1" x14ac:dyDescent="0.3">
      <c r="A276" s="44" t="str">
        <f t="shared" si="16"/>
        <v>11</v>
      </c>
      <c r="B276" s="41">
        <f t="shared" si="17"/>
        <v>1</v>
      </c>
      <c r="C276" s="41" t="str">
        <f t="shared" si="18"/>
        <v/>
      </c>
      <c r="D276" s="41">
        <f t="shared" si="19"/>
        <v>1</v>
      </c>
      <c r="E276" s="62"/>
      <c r="F276" s="1" t="s">
        <v>793</v>
      </c>
      <c r="G276" s="1">
        <v>273</v>
      </c>
      <c r="H276" s="4" t="s">
        <v>794</v>
      </c>
      <c r="I276" s="4" t="str">
        <f>IF(ISERROR(VLOOKUP(H276,#REF!,9,0)),"",VLOOKUP(H276,#REF!,9,0))</f>
        <v/>
      </c>
      <c r="J276" s="42" t="s">
        <v>795</v>
      </c>
      <c r="K276" s="1" t="s">
        <v>248</v>
      </c>
      <c r="L276" s="1" t="s">
        <v>47</v>
      </c>
      <c r="M276" s="43">
        <v>2022</v>
      </c>
      <c r="N276" s="42" t="s">
        <v>796</v>
      </c>
      <c r="O276" s="43" t="s">
        <v>70</v>
      </c>
      <c r="P276" s="43"/>
      <c r="Q276" s="43"/>
      <c r="R276" s="43"/>
      <c r="S276" s="43"/>
      <c r="T276" s="43"/>
      <c r="U276" s="42"/>
    </row>
    <row r="277" spans="1:21" ht="21" customHeight="1" x14ac:dyDescent="0.3">
      <c r="A277" s="44" t="str">
        <f t="shared" si="16"/>
        <v>11</v>
      </c>
      <c r="B277" s="41">
        <f t="shared" si="17"/>
        <v>1</v>
      </c>
      <c r="C277" s="41" t="str">
        <f t="shared" si="18"/>
        <v/>
      </c>
      <c r="D277" s="41">
        <f t="shared" si="19"/>
        <v>1</v>
      </c>
      <c r="E277" s="62"/>
      <c r="F277" s="1" t="s">
        <v>793</v>
      </c>
      <c r="G277" s="1">
        <v>274</v>
      </c>
      <c r="H277" s="4" t="s">
        <v>797</v>
      </c>
      <c r="I277" s="4" t="str">
        <f>IF(ISERROR(VLOOKUP(H277,#REF!,9,0)),"",VLOOKUP(H277,#REF!,9,0))</f>
        <v/>
      </c>
      <c r="J277" s="42" t="s">
        <v>798</v>
      </c>
      <c r="K277" s="1" t="s">
        <v>248</v>
      </c>
      <c r="L277" s="1" t="s">
        <v>47</v>
      </c>
      <c r="M277" s="43">
        <v>2022</v>
      </c>
      <c r="N277" s="42" t="s">
        <v>799</v>
      </c>
      <c r="O277" s="43" t="s">
        <v>70</v>
      </c>
      <c r="P277" s="43"/>
      <c r="Q277" s="43"/>
      <c r="R277" s="43"/>
      <c r="S277" s="43"/>
      <c r="T277" s="43"/>
      <c r="U277" s="42"/>
    </row>
    <row r="278" spans="1:21" ht="21" customHeight="1" x14ac:dyDescent="0.3">
      <c r="A278" s="44" t="str">
        <f t="shared" si="16"/>
        <v>11</v>
      </c>
      <c r="B278" s="41">
        <f t="shared" si="17"/>
        <v>1</v>
      </c>
      <c r="C278" s="41" t="str">
        <f t="shared" si="18"/>
        <v/>
      </c>
      <c r="D278" s="41">
        <f t="shared" si="19"/>
        <v>1</v>
      </c>
      <c r="E278" s="62"/>
      <c r="F278" s="1" t="s">
        <v>793</v>
      </c>
      <c r="G278" s="1">
        <v>275</v>
      </c>
      <c r="H278" s="4" t="s">
        <v>794</v>
      </c>
      <c r="I278" s="4" t="str">
        <f>IF(ISERROR(VLOOKUP(H278,#REF!,9,0)),"",VLOOKUP(H278,#REF!,9,0))</f>
        <v/>
      </c>
      <c r="J278" s="42" t="s">
        <v>795</v>
      </c>
      <c r="K278" s="1" t="s">
        <v>248</v>
      </c>
      <c r="L278" s="1" t="s">
        <v>47</v>
      </c>
      <c r="M278" s="43">
        <v>2022</v>
      </c>
      <c r="N278" s="42" t="s">
        <v>796</v>
      </c>
      <c r="O278" s="43" t="s">
        <v>70</v>
      </c>
      <c r="P278" s="43"/>
      <c r="Q278" s="43"/>
      <c r="R278" s="43"/>
      <c r="S278" s="43"/>
      <c r="T278" s="43"/>
      <c r="U278" s="42"/>
    </row>
    <row r="279" spans="1:21" ht="21" customHeight="1" x14ac:dyDescent="0.3">
      <c r="A279" s="44" t="str">
        <f t="shared" si="16"/>
        <v>11</v>
      </c>
      <c r="B279" s="41">
        <f t="shared" si="17"/>
        <v>1</v>
      </c>
      <c r="C279" s="41" t="str">
        <f t="shared" si="18"/>
        <v/>
      </c>
      <c r="D279" s="41">
        <f t="shared" si="19"/>
        <v>1</v>
      </c>
      <c r="E279" s="62"/>
      <c r="F279" s="1" t="s">
        <v>793</v>
      </c>
      <c r="G279" s="1">
        <v>276</v>
      </c>
      <c r="H279" s="4" t="s">
        <v>800</v>
      </c>
      <c r="I279" s="4" t="str">
        <f>IF(ISERROR(VLOOKUP(H279,#REF!,9,0)),"",VLOOKUP(H279,#REF!,9,0))</f>
        <v/>
      </c>
      <c r="J279" s="42" t="s">
        <v>801</v>
      </c>
      <c r="K279" s="1" t="s">
        <v>248</v>
      </c>
      <c r="L279" s="1" t="s">
        <v>47</v>
      </c>
      <c r="M279" s="43">
        <v>2022</v>
      </c>
      <c r="N279" s="42" t="s">
        <v>802</v>
      </c>
      <c r="O279" s="43" t="s">
        <v>70</v>
      </c>
      <c r="P279" s="43"/>
      <c r="Q279" s="43"/>
      <c r="R279" s="43"/>
      <c r="S279" s="43"/>
      <c r="T279" s="43"/>
      <c r="U279" s="42"/>
    </row>
    <row r="280" spans="1:21" ht="21" customHeight="1" x14ac:dyDescent="0.3">
      <c r="A280" s="44" t="str">
        <f t="shared" si="16"/>
        <v>11</v>
      </c>
      <c r="B280" s="41">
        <f t="shared" si="17"/>
        <v>1</v>
      </c>
      <c r="C280" s="41" t="str">
        <f t="shared" si="18"/>
        <v/>
      </c>
      <c r="D280" s="41">
        <f t="shared" si="19"/>
        <v>1</v>
      </c>
      <c r="E280" s="62"/>
      <c r="F280" s="1" t="s">
        <v>787</v>
      </c>
      <c r="G280" s="1">
        <v>277</v>
      </c>
      <c r="H280" s="4" t="s">
        <v>803</v>
      </c>
      <c r="I280" s="4" t="str">
        <f>IF(ISERROR(VLOOKUP(H280,#REF!,9,0)),"",VLOOKUP(H280,#REF!,9,0))</f>
        <v/>
      </c>
      <c r="J280" s="42" t="s">
        <v>804</v>
      </c>
      <c r="K280" s="1" t="s">
        <v>248</v>
      </c>
      <c r="L280" s="1" t="s">
        <v>47</v>
      </c>
      <c r="M280" s="43">
        <v>2022</v>
      </c>
      <c r="N280" s="42"/>
      <c r="O280" s="43" t="s">
        <v>70</v>
      </c>
      <c r="P280" s="43"/>
      <c r="Q280" s="43"/>
      <c r="R280" s="43"/>
      <c r="S280" s="43"/>
      <c r="T280" s="43"/>
      <c r="U280" s="42"/>
    </row>
    <row r="281" spans="1:21" ht="21" customHeight="1" x14ac:dyDescent="0.3">
      <c r="A281" s="44" t="str">
        <f t="shared" si="16"/>
        <v>11</v>
      </c>
      <c r="B281" s="41">
        <f t="shared" si="17"/>
        <v>1</v>
      </c>
      <c r="C281" s="41" t="str">
        <f t="shared" si="18"/>
        <v/>
      </c>
      <c r="D281" s="41">
        <f t="shared" si="19"/>
        <v>1</v>
      </c>
      <c r="E281" s="62"/>
      <c r="F281" s="1"/>
      <c r="G281" s="1">
        <v>278</v>
      </c>
      <c r="H281" s="4" t="s">
        <v>276</v>
      </c>
      <c r="I281" s="4" t="str">
        <f>IF(ISERROR(VLOOKUP(H281,#REF!,9,0)),"",VLOOKUP(H281,#REF!,9,0))</f>
        <v/>
      </c>
      <c r="J281" s="42" t="s">
        <v>276</v>
      </c>
      <c r="K281" s="1" t="s">
        <v>248</v>
      </c>
      <c r="L281" s="1" t="s">
        <v>541</v>
      </c>
      <c r="M281" s="43">
        <v>2022</v>
      </c>
      <c r="N281" s="42"/>
      <c r="O281" s="43" t="s">
        <v>70</v>
      </c>
      <c r="P281" s="43"/>
      <c r="Q281" s="43"/>
      <c r="R281" s="43"/>
      <c r="S281" s="43"/>
      <c r="T281" s="43"/>
      <c r="U281" s="42"/>
    </row>
    <row r="282" spans="1:21" ht="21" customHeight="1" x14ac:dyDescent="0.3">
      <c r="A282" s="44" t="str">
        <f t="shared" si="16"/>
        <v>11</v>
      </c>
      <c r="B282" s="41">
        <f t="shared" si="17"/>
        <v>1</v>
      </c>
      <c r="C282" s="41" t="str">
        <f t="shared" si="18"/>
        <v/>
      </c>
      <c r="D282" s="41">
        <f t="shared" si="19"/>
        <v>1</v>
      </c>
      <c r="E282" s="62"/>
      <c r="F282" s="1"/>
      <c r="G282" s="1">
        <v>279</v>
      </c>
      <c r="H282" s="4" t="s">
        <v>278</v>
      </c>
      <c r="I282" s="4" t="str">
        <f>IF(ISERROR(VLOOKUP(H282,#REF!,9,0)),"",VLOOKUP(H282,#REF!,9,0))</f>
        <v/>
      </c>
      <c r="J282" s="42" t="s">
        <v>278</v>
      </c>
      <c r="K282" s="1" t="s">
        <v>248</v>
      </c>
      <c r="L282" s="1" t="s">
        <v>541</v>
      </c>
      <c r="M282" s="43">
        <v>2022</v>
      </c>
      <c r="N282" s="42"/>
      <c r="O282" s="43" t="s">
        <v>70</v>
      </c>
      <c r="P282" s="43"/>
      <c r="Q282" s="43"/>
      <c r="R282" s="43"/>
      <c r="S282" s="43"/>
      <c r="T282" s="43"/>
      <c r="U282" s="42"/>
    </row>
    <row r="283" spans="1:21" ht="21" customHeight="1" x14ac:dyDescent="0.3">
      <c r="A283" s="44" t="str">
        <f t="shared" si="16"/>
        <v>1</v>
      </c>
      <c r="B283" s="41">
        <f t="shared" si="17"/>
        <v>1</v>
      </c>
      <c r="C283" s="41" t="str">
        <f t="shared" si="18"/>
        <v/>
      </c>
      <c r="D283" s="41" t="str">
        <f t="shared" si="19"/>
        <v/>
      </c>
      <c r="E283" s="62"/>
      <c r="F283" s="1"/>
      <c r="G283" s="1">
        <v>280</v>
      </c>
      <c r="H283" s="4" t="s">
        <v>280</v>
      </c>
      <c r="I283" s="4" t="str">
        <f>IF(ISERROR(VLOOKUP(H283,#REF!,9,0)),"",VLOOKUP(H283,#REF!,9,0))</f>
        <v/>
      </c>
      <c r="J283" s="42"/>
      <c r="K283" s="1" t="s">
        <v>248</v>
      </c>
      <c r="L283" s="1" t="s">
        <v>521</v>
      </c>
      <c r="M283" s="43">
        <v>2022</v>
      </c>
      <c r="N283" s="42"/>
      <c r="O283" s="43" t="s">
        <v>70</v>
      </c>
      <c r="P283" s="43"/>
      <c r="Q283" s="43"/>
      <c r="R283" s="43"/>
      <c r="S283" s="43"/>
      <c r="T283" s="43"/>
      <c r="U283" s="42"/>
    </row>
    <row r="284" spans="1:21" ht="21" customHeight="1" x14ac:dyDescent="0.3">
      <c r="A284" s="44" t="str">
        <f t="shared" si="16"/>
        <v>1</v>
      </c>
      <c r="B284" s="41" t="str">
        <f t="shared" si="17"/>
        <v/>
      </c>
      <c r="C284" s="41" t="str">
        <f t="shared" si="18"/>
        <v/>
      </c>
      <c r="D284" s="41">
        <f t="shared" si="19"/>
        <v>1</v>
      </c>
      <c r="E284" s="62"/>
      <c r="F284" s="1"/>
      <c r="G284" s="1">
        <v>281</v>
      </c>
      <c r="H284" s="4"/>
      <c r="I284" s="4" t="str">
        <f>IF(ISERROR(VLOOKUP(H284,#REF!,9,0)),"",VLOOKUP(H284,#REF!,9,0))</f>
        <v/>
      </c>
      <c r="J284" s="42" t="s">
        <v>805</v>
      </c>
      <c r="K284" s="1" t="s">
        <v>248</v>
      </c>
      <c r="L284" s="1" t="s">
        <v>47</v>
      </c>
      <c r="M284" s="43">
        <v>2022</v>
      </c>
      <c r="N284" s="42" t="s">
        <v>806</v>
      </c>
      <c r="O284" s="43" t="s">
        <v>70</v>
      </c>
      <c r="P284" s="43"/>
      <c r="Q284" s="43"/>
      <c r="R284" s="43"/>
      <c r="S284" s="43"/>
      <c r="T284" s="43"/>
      <c r="U284" s="42"/>
    </row>
    <row r="285" spans="1:21" ht="21" customHeight="1" x14ac:dyDescent="0.3">
      <c r="A285" s="44" t="str">
        <f t="shared" si="16"/>
        <v>1</v>
      </c>
      <c r="B285" s="41" t="str">
        <f t="shared" si="17"/>
        <v/>
      </c>
      <c r="C285" s="41" t="str">
        <f t="shared" si="18"/>
        <v/>
      </c>
      <c r="D285" s="41">
        <f t="shared" si="19"/>
        <v>1</v>
      </c>
      <c r="E285" s="62"/>
      <c r="F285" s="1"/>
      <c r="G285" s="1">
        <v>282</v>
      </c>
      <c r="H285" s="4"/>
      <c r="I285" s="4" t="str">
        <f>IF(ISERROR(VLOOKUP(H285,#REF!,9,0)),"",VLOOKUP(H285,#REF!,9,0))</f>
        <v/>
      </c>
      <c r="J285" s="42" t="s">
        <v>807</v>
      </c>
      <c r="K285" s="1" t="s">
        <v>248</v>
      </c>
      <c r="L285" s="1" t="s">
        <v>47</v>
      </c>
      <c r="M285" s="43">
        <v>2022</v>
      </c>
      <c r="N285" s="42" t="s">
        <v>808</v>
      </c>
      <c r="O285" s="43" t="s">
        <v>70</v>
      </c>
      <c r="P285" s="43"/>
      <c r="Q285" s="43"/>
      <c r="R285" s="43"/>
      <c r="S285" s="43"/>
      <c r="T285" s="43"/>
      <c r="U285" s="42"/>
    </row>
    <row r="286" spans="1:21" ht="21" customHeight="1" x14ac:dyDescent="0.3">
      <c r="A286" s="44" t="str">
        <f t="shared" si="16"/>
        <v>1</v>
      </c>
      <c r="B286" s="41" t="str">
        <f t="shared" si="17"/>
        <v/>
      </c>
      <c r="C286" s="41" t="str">
        <f t="shared" si="18"/>
        <v/>
      </c>
      <c r="D286" s="41">
        <f t="shared" si="19"/>
        <v>1</v>
      </c>
      <c r="E286" s="62"/>
      <c r="F286" s="1"/>
      <c r="G286" s="1">
        <v>283</v>
      </c>
      <c r="H286" s="4"/>
      <c r="I286" s="4" t="str">
        <f>IF(ISERROR(VLOOKUP(H286,#REF!,9,0)),"",VLOOKUP(H286,#REF!,9,0))</f>
        <v/>
      </c>
      <c r="J286" s="42" t="s">
        <v>809</v>
      </c>
      <c r="K286" s="1" t="s">
        <v>248</v>
      </c>
      <c r="L286" s="1" t="s">
        <v>47</v>
      </c>
      <c r="M286" s="43">
        <v>2022</v>
      </c>
      <c r="N286" s="42"/>
      <c r="O286" s="43" t="s">
        <v>70</v>
      </c>
      <c r="P286" s="43"/>
      <c r="Q286" s="43"/>
      <c r="R286" s="43"/>
      <c r="S286" s="43"/>
      <c r="T286" s="43"/>
      <c r="U286" s="42"/>
    </row>
    <row r="287" spans="1:21" ht="21" customHeight="1" x14ac:dyDescent="0.3">
      <c r="A287" s="44" t="str">
        <f t="shared" si="16"/>
        <v>1</v>
      </c>
      <c r="B287" s="41" t="str">
        <f t="shared" si="17"/>
        <v/>
      </c>
      <c r="C287" s="41" t="str">
        <f t="shared" si="18"/>
        <v/>
      </c>
      <c r="D287" s="41">
        <f t="shared" si="19"/>
        <v>1</v>
      </c>
      <c r="E287" s="62"/>
      <c r="F287" s="1"/>
      <c r="G287" s="1">
        <v>284</v>
      </c>
      <c r="H287" s="4"/>
      <c r="I287" s="4" t="str">
        <f>IF(ISERROR(VLOOKUP(H287,#REF!,9,0)),"",VLOOKUP(H287,#REF!,9,0))</f>
        <v/>
      </c>
      <c r="J287" s="42" t="s">
        <v>810</v>
      </c>
      <c r="K287" s="1" t="s">
        <v>248</v>
      </c>
      <c r="L287" s="1" t="s">
        <v>47</v>
      </c>
      <c r="M287" s="43">
        <v>2022</v>
      </c>
      <c r="N287" s="42"/>
      <c r="O287" s="43" t="s">
        <v>70</v>
      </c>
      <c r="P287" s="43"/>
      <c r="Q287" s="43"/>
      <c r="R287" s="43"/>
      <c r="S287" s="43"/>
      <c r="T287" s="43"/>
      <c r="U287" s="42"/>
    </row>
    <row r="288" spans="1:21" ht="21" customHeight="1" x14ac:dyDescent="0.3">
      <c r="A288" s="44" t="str">
        <f t="shared" si="16"/>
        <v>1</v>
      </c>
      <c r="B288" s="41" t="str">
        <f t="shared" si="17"/>
        <v/>
      </c>
      <c r="C288" s="41" t="str">
        <f t="shared" si="18"/>
        <v/>
      </c>
      <c r="D288" s="41">
        <f t="shared" si="19"/>
        <v>1</v>
      </c>
      <c r="E288" s="62"/>
      <c r="F288" s="1"/>
      <c r="G288" s="1">
        <v>285</v>
      </c>
      <c r="H288" s="4"/>
      <c r="I288" s="4" t="str">
        <f>IF(ISERROR(VLOOKUP(H288,#REF!,9,0)),"",VLOOKUP(H288,#REF!,9,0))</f>
        <v/>
      </c>
      <c r="J288" s="42" t="s">
        <v>811</v>
      </c>
      <c r="K288" s="1" t="s">
        <v>248</v>
      </c>
      <c r="L288" s="1" t="s">
        <v>47</v>
      </c>
      <c r="M288" s="43">
        <v>2022</v>
      </c>
      <c r="N288" s="42"/>
      <c r="O288" s="43" t="s">
        <v>70</v>
      </c>
      <c r="P288" s="43"/>
      <c r="Q288" s="43"/>
      <c r="R288" s="43"/>
      <c r="S288" s="43"/>
      <c r="T288" s="43"/>
      <c r="U288" s="42"/>
    </row>
    <row r="289" spans="1:21" ht="21" customHeight="1" x14ac:dyDescent="0.3">
      <c r="A289" s="44" t="str">
        <f t="shared" si="16"/>
        <v>1</v>
      </c>
      <c r="B289" s="41" t="str">
        <f t="shared" si="17"/>
        <v/>
      </c>
      <c r="C289" s="41" t="str">
        <f t="shared" si="18"/>
        <v/>
      </c>
      <c r="D289" s="41">
        <f t="shared" si="19"/>
        <v>1</v>
      </c>
      <c r="E289" s="62"/>
      <c r="F289" s="1"/>
      <c r="G289" s="1">
        <v>286</v>
      </c>
      <c r="H289" s="4"/>
      <c r="I289" s="4" t="str">
        <f>IF(ISERROR(VLOOKUP(H289,#REF!,9,0)),"",VLOOKUP(H289,#REF!,9,0))</f>
        <v/>
      </c>
      <c r="J289" s="42" t="s">
        <v>812</v>
      </c>
      <c r="K289" s="1" t="s">
        <v>248</v>
      </c>
      <c r="L289" s="1" t="s">
        <v>47</v>
      </c>
      <c r="M289" s="43">
        <v>2022</v>
      </c>
      <c r="N289" s="42" t="s">
        <v>813</v>
      </c>
      <c r="O289" s="43" t="s">
        <v>70</v>
      </c>
      <c r="P289" s="43"/>
      <c r="Q289" s="43"/>
      <c r="R289" s="43"/>
      <c r="S289" s="43"/>
      <c r="T289" s="43"/>
      <c r="U289" s="42"/>
    </row>
    <row r="290" spans="1:21" ht="21" customHeight="1" x14ac:dyDescent="0.3">
      <c r="A290" s="44" t="str">
        <f t="shared" si="16"/>
        <v>1</v>
      </c>
      <c r="B290" s="41" t="str">
        <f t="shared" si="17"/>
        <v/>
      </c>
      <c r="C290" s="41" t="str">
        <f t="shared" si="18"/>
        <v/>
      </c>
      <c r="D290" s="41">
        <f t="shared" si="19"/>
        <v>1</v>
      </c>
      <c r="E290" s="62"/>
      <c r="F290" s="1"/>
      <c r="G290" s="1">
        <v>287</v>
      </c>
      <c r="H290" s="4"/>
      <c r="I290" s="4" t="str">
        <f>IF(ISERROR(VLOOKUP(H290,#REF!,9,0)),"",VLOOKUP(H290,#REF!,9,0))</f>
        <v/>
      </c>
      <c r="J290" s="42" t="s">
        <v>814</v>
      </c>
      <c r="K290" s="1" t="s">
        <v>248</v>
      </c>
      <c r="L290" s="1" t="s">
        <v>47</v>
      </c>
      <c r="M290" s="43">
        <v>2022</v>
      </c>
      <c r="N290" s="42" t="s">
        <v>815</v>
      </c>
      <c r="O290" s="43" t="s">
        <v>70</v>
      </c>
      <c r="P290" s="43"/>
      <c r="Q290" s="43"/>
      <c r="R290" s="43"/>
      <c r="S290" s="43"/>
      <c r="T290" s="43"/>
      <c r="U290" s="42"/>
    </row>
    <row r="291" spans="1:21" ht="21" customHeight="1" x14ac:dyDescent="0.3">
      <c r="A291" s="44" t="str">
        <f t="shared" si="16"/>
        <v>11</v>
      </c>
      <c r="B291" s="41">
        <f t="shared" si="17"/>
        <v>1</v>
      </c>
      <c r="C291" s="41" t="str">
        <f t="shared" si="18"/>
        <v/>
      </c>
      <c r="D291" s="41">
        <f t="shared" si="19"/>
        <v>1</v>
      </c>
      <c r="E291" s="62"/>
      <c r="F291" s="1" t="s">
        <v>281</v>
      </c>
      <c r="G291" s="1">
        <v>288</v>
      </c>
      <c r="H291" s="4" t="s">
        <v>282</v>
      </c>
      <c r="I291" s="4" t="str">
        <f>IF(ISERROR(VLOOKUP(H291,#REF!,9,0)),"",VLOOKUP(H291,#REF!,9,0))</f>
        <v/>
      </c>
      <c r="J291" s="42" t="s">
        <v>816</v>
      </c>
      <c r="K291" s="1" t="s">
        <v>248</v>
      </c>
      <c r="L291" s="1" t="s">
        <v>522</v>
      </c>
      <c r="M291" s="43">
        <v>2022</v>
      </c>
      <c r="N291" s="42"/>
      <c r="O291" s="43" t="s">
        <v>284</v>
      </c>
      <c r="P291" s="43"/>
      <c r="Q291" s="43"/>
      <c r="R291" s="43"/>
      <c r="S291" s="43"/>
      <c r="T291" s="43"/>
      <c r="U291" s="42"/>
    </row>
    <row r="292" spans="1:21" ht="21" customHeight="1" x14ac:dyDescent="0.3">
      <c r="A292" s="44" t="str">
        <f t="shared" si="16"/>
        <v>1</v>
      </c>
      <c r="B292" s="41">
        <f t="shared" si="17"/>
        <v>1</v>
      </c>
      <c r="C292" s="41" t="str">
        <f t="shared" si="18"/>
        <v/>
      </c>
      <c r="D292" s="41" t="str">
        <f t="shared" si="19"/>
        <v/>
      </c>
      <c r="E292" s="62"/>
      <c r="F292" s="1" t="s">
        <v>281</v>
      </c>
      <c r="G292" s="1">
        <v>289</v>
      </c>
      <c r="H292" s="4" t="s">
        <v>285</v>
      </c>
      <c r="I292" s="4" t="str">
        <f>IF(ISERROR(VLOOKUP(H292,#REF!,9,0)),"",VLOOKUP(H292,#REF!,9,0))</f>
        <v/>
      </c>
      <c r="J292" s="42"/>
      <c r="K292" s="1" t="s">
        <v>248</v>
      </c>
      <c r="L292" s="1" t="s">
        <v>522</v>
      </c>
      <c r="M292" s="43">
        <v>2022</v>
      </c>
      <c r="N292" s="42"/>
      <c r="O292" s="43" t="s">
        <v>70</v>
      </c>
      <c r="P292" s="43"/>
      <c r="Q292" s="43"/>
      <c r="R292" s="43"/>
      <c r="S292" s="43"/>
      <c r="T292" s="43"/>
      <c r="U292" s="42"/>
    </row>
    <row r="293" spans="1:21" ht="21" customHeight="1" x14ac:dyDescent="0.3">
      <c r="A293" s="44" t="str">
        <f t="shared" si="16"/>
        <v>1</v>
      </c>
      <c r="B293" s="41">
        <f t="shared" si="17"/>
        <v>1</v>
      </c>
      <c r="C293" s="41" t="str">
        <f t="shared" si="18"/>
        <v/>
      </c>
      <c r="D293" s="41" t="str">
        <f t="shared" si="19"/>
        <v/>
      </c>
      <c r="E293" s="62"/>
      <c r="F293" s="1"/>
      <c r="G293" s="1">
        <v>290</v>
      </c>
      <c r="H293" s="4" t="s">
        <v>287</v>
      </c>
      <c r="I293" s="4" t="str">
        <f>IF(ISERROR(VLOOKUP(H293,#REF!,9,0)),"",VLOOKUP(H293,#REF!,9,0))</f>
        <v/>
      </c>
      <c r="J293" s="42"/>
      <c r="K293" s="1" t="s">
        <v>248</v>
      </c>
      <c r="L293" s="1" t="s">
        <v>522</v>
      </c>
      <c r="M293" s="43">
        <v>2022</v>
      </c>
      <c r="N293" s="42"/>
      <c r="O293" s="43" t="s">
        <v>79</v>
      </c>
      <c r="P293" s="43"/>
      <c r="Q293" s="43"/>
      <c r="R293" s="43"/>
      <c r="S293" s="43"/>
      <c r="T293" s="43"/>
      <c r="U293" s="42"/>
    </row>
    <row r="294" spans="1:21" ht="21" customHeight="1" x14ac:dyDescent="0.3">
      <c r="A294" s="44" t="str">
        <f t="shared" si="16"/>
        <v>1</v>
      </c>
      <c r="B294" s="41">
        <f t="shared" si="17"/>
        <v>1</v>
      </c>
      <c r="C294" s="41" t="str">
        <f t="shared" si="18"/>
        <v/>
      </c>
      <c r="D294" s="41" t="str">
        <f t="shared" si="19"/>
        <v/>
      </c>
      <c r="E294" s="62"/>
      <c r="F294" s="1"/>
      <c r="G294" s="1">
        <v>291</v>
      </c>
      <c r="H294" s="4" t="s">
        <v>288</v>
      </c>
      <c r="I294" s="4" t="str">
        <f>IF(ISERROR(VLOOKUP(H294,#REF!,9,0)),"",VLOOKUP(H294,#REF!,9,0))</f>
        <v/>
      </c>
      <c r="J294" s="42"/>
      <c r="K294" s="1" t="s">
        <v>248</v>
      </c>
      <c r="L294" s="1" t="s">
        <v>522</v>
      </c>
      <c r="M294" s="43">
        <v>2022</v>
      </c>
      <c r="N294" s="42"/>
      <c r="O294" s="43" t="s">
        <v>70</v>
      </c>
      <c r="P294" s="43"/>
      <c r="Q294" s="43"/>
      <c r="R294" s="43"/>
      <c r="S294" s="43"/>
      <c r="T294" s="43"/>
      <c r="U294" s="42"/>
    </row>
    <row r="295" spans="1:21" ht="21" customHeight="1" x14ac:dyDescent="0.3">
      <c r="A295" s="44" t="str">
        <f t="shared" si="16"/>
        <v>1</v>
      </c>
      <c r="B295" s="41">
        <f t="shared" si="17"/>
        <v>1</v>
      </c>
      <c r="C295" s="41" t="str">
        <f t="shared" si="18"/>
        <v/>
      </c>
      <c r="D295" s="41" t="str">
        <f t="shared" si="19"/>
        <v/>
      </c>
      <c r="E295" s="62"/>
      <c r="F295" s="1"/>
      <c r="G295" s="1">
        <v>292</v>
      </c>
      <c r="H295" s="4" t="s">
        <v>289</v>
      </c>
      <c r="I295" s="4" t="str">
        <f>IF(ISERROR(VLOOKUP(H295,#REF!,9,0)),"",VLOOKUP(H295,#REF!,9,0))</f>
        <v/>
      </c>
      <c r="J295" s="42"/>
      <c r="K295" s="1" t="s">
        <v>248</v>
      </c>
      <c r="L295" s="1" t="s">
        <v>522</v>
      </c>
      <c r="M295" s="43" t="s">
        <v>565</v>
      </c>
      <c r="N295" s="42"/>
      <c r="O295" s="43" t="s">
        <v>70</v>
      </c>
      <c r="P295" s="43"/>
      <c r="Q295" s="43"/>
      <c r="R295" s="43"/>
      <c r="S295" s="43"/>
      <c r="T295" s="43"/>
      <c r="U295" s="42"/>
    </row>
    <row r="296" spans="1:21" ht="21" customHeight="1" x14ac:dyDescent="0.3">
      <c r="A296" s="44" t="str">
        <f t="shared" si="16"/>
        <v>1</v>
      </c>
      <c r="B296" s="41">
        <f t="shared" si="17"/>
        <v>1</v>
      </c>
      <c r="C296" s="41" t="str">
        <f t="shared" si="18"/>
        <v/>
      </c>
      <c r="D296" s="41" t="str">
        <f t="shared" si="19"/>
        <v/>
      </c>
      <c r="E296" s="62"/>
      <c r="F296" s="1"/>
      <c r="G296" s="1">
        <v>293</v>
      </c>
      <c r="H296" s="4" t="s">
        <v>290</v>
      </c>
      <c r="I296" s="4" t="str">
        <f>IF(ISERROR(VLOOKUP(H296,#REF!,9,0)),"",VLOOKUP(H296,#REF!,9,0))</f>
        <v/>
      </c>
      <c r="J296" s="42"/>
      <c r="K296" s="1" t="s">
        <v>248</v>
      </c>
      <c r="L296" s="1" t="s">
        <v>522</v>
      </c>
      <c r="M296" s="43" t="s">
        <v>565</v>
      </c>
      <c r="N296" s="42"/>
      <c r="O296" s="43" t="s">
        <v>70</v>
      </c>
      <c r="P296" s="43"/>
      <c r="Q296" s="43"/>
      <c r="R296" s="43"/>
      <c r="S296" s="43"/>
      <c r="T296" s="43"/>
      <c r="U296" s="42"/>
    </row>
    <row r="297" spans="1:21" ht="21" customHeight="1" x14ac:dyDescent="0.3">
      <c r="A297" s="44" t="str">
        <f t="shared" si="16"/>
        <v>11</v>
      </c>
      <c r="B297" s="41">
        <f t="shared" si="17"/>
        <v>1</v>
      </c>
      <c r="C297" s="41" t="str">
        <f t="shared" si="18"/>
        <v/>
      </c>
      <c r="D297" s="41">
        <f t="shared" si="19"/>
        <v>1</v>
      </c>
      <c r="E297" s="62"/>
      <c r="F297" s="1" t="s">
        <v>817</v>
      </c>
      <c r="G297" s="1">
        <v>294</v>
      </c>
      <c r="H297" s="4" t="s">
        <v>818</v>
      </c>
      <c r="I297" s="4" t="str">
        <f>IF(ISERROR(VLOOKUP(H297,#REF!,9,0)),"",VLOOKUP(H297,#REF!,9,0))</f>
        <v/>
      </c>
      <c r="J297" s="42" t="s">
        <v>819</v>
      </c>
      <c r="K297" s="1" t="s">
        <v>248</v>
      </c>
      <c r="L297" s="1" t="s">
        <v>47</v>
      </c>
      <c r="M297" s="43">
        <v>2022</v>
      </c>
      <c r="N297" s="42" t="s">
        <v>820</v>
      </c>
      <c r="O297" s="43" t="s">
        <v>70</v>
      </c>
      <c r="P297" s="43"/>
      <c r="Q297" s="43"/>
      <c r="R297" s="43"/>
      <c r="S297" s="43"/>
      <c r="T297" s="43"/>
      <c r="U297" s="42"/>
    </row>
    <row r="298" spans="1:21" ht="21" customHeight="1" x14ac:dyDescent="0.3">
      <c r="A298" s="44" t="str">
        <f t="shared" si="16"/>
        <v>11</v>
      </c>
      <c r="B298" s="41">
        <f t="shared" si="17"/>
        <v>1</v>
      </c>
      <c r="C298" s="41" t="str">
        <f t="shared" si="18"/>
        <v/>
      </c>
      <c r="D298" s="41">
        <f t="shared" si="19"/>
        <v>1</v>
      </c>
      <c r="E298" s="62"/>
      <c r="F298" s="1" t="s">
        <v>817</v>
      </c>
      <c r="G298" s="1">
        <v>295</v>
      </c>
      <c r="H298" s="4" t="s">
        <v>821</v>
      </c>
      <c r="I298" s="4" t="str">
        <f>IF(ISERROR(VLOOKUP(H298,#REF!,9,0)),"",VLOOKUP(H298,#REF!,9,0))</f>
        <v/>
      </c>
      <c r="J298" s="42" t="s">
        <v>822</v>
      </c>
      <c r="K298" s="1" t="s">
        <v>248</v>
      </c>
      <c r="L298" s="1" t="s">
        <v>47</v>
      </c>
      <c r="M298" s="43">
        <v>2022</v>
      </c>
      <c r="N298" s="42" t="s">
        <v>823</v>
      </c>
      <c r="O298" s="43" t="s">
        <v>70</v>
      </c>
      <c r="P298" s="43"/>
      <c r="Q298" s="43"/>
      <c r="R298" s="43"/>
      <c r="S298" s="43"/>
      <c r="T298" s="43"/>
      <c r="U298" s="42"/>
    </row>
    <row r="299" spans="1:21" ht="21" customHeight="1" x14ac:dyDescent="0.3">
      <c r="A299" s="44" t="str">
        <f t="shared" si="16"/>
        <v>11</v>
      </c>
      <c r="B299" s="41">
        <f t="shared" si="17"/>
        <v>1</v>
      </c>
      <c r="C299" s="41" t="str">
        <f t="shared" si="18"/>
        <v/>
      </c>
      <c r="D299" s="41">
        <f t="shared" si="19"/>
        <v>1</v>
      </c>
      <c r="E299" s="62"/>
      <c r="F299" s="1" t="s">
        <v>817</v>
      </c>
      <c r="G299" s="1">
        <v>296</v>
      </c>
      <c r="H299" s="4" t="s">
        <v>824</v>
      </c>
      <c r="I299" s="4" t="str">
        <f>IF(ISERROR(VLOOKUP(H299,#REF!,9,0)),"",VLOOKUP(H299,#REF!,9,0))</f>
        <v/>
      </c>
      <c r="J299" s="42" t="s">
        <v>825</v>
      </c>
      <c r="K299" s="1" t="s">
        <v>248</v>
      </c>
      <c r="L299" s="1" t="s">
        <v>47</v>
      </c>
      <c r="M299" s="43">
        <v>2022</v>
      </c>
      <c r="N299" s="42"/>
      <c r="O299" s="43" t="s">
        <v>70</v>
      </c>
      <c r="P299" s="43"/>
      <c r="Q299" s="43"/>
      <c r="R299" s="43"/>
      <c r="S299" s="43"/>
      <c r="T299" s="43"/>
      <c r="U299" s="42"/>
    </row>
    <row r="300" spans="1:21" ht="21" customHeight="1" x14ac:dyDescent="0.3">
      <c r="A300" s="44" t="str">
        <f t="shared" si="16"/>
        <v>1</v>
      </c>
      <c r="B300" s="41" t="str">
        <f t="shared" si="17"/>
        <v/>
      </c>
      <c r="C300" s="41" t="str">
        <f t="shared" si="18"/>
        <v/>
      </c>
      <c r="D300" s="41">
        <f t="shared" si="19"/>
        <v>1</v>
      </c>
      <c r="E300" s="62"/>
      <c r="F300" s="1"/>
      <c r="G300" s="1">
        <v>297</v>
      </c>
      <c r="H300" s="4"/>
      <c r="I300" s="4" t="str">
        <f>IF(ISERROR(VLOOKUP(H300,#REF!,9,0)),"",VLOOKUP(H300,#REF!,9,0))</f>
        <v/>
      </c>
      <c r="J300" s="42" t="s">
        <v>826</v>
      </c>
      <c r="K300" s="1" t="s">
        <v>248</v>
      </c>
      <c r="L300" s="1" t="s">
        <v>47</v>
      </c>
      <c r="M300" s="43">
        <v>2022</v>
      </c>
      <c r="N300" s="42"/>
      <c r="O300" s="43" t="s">
        <v>70</v>
      </c>
      <c r="P300" s="43"/>
      <c r="Q300" s="43"/>
      <c r="R300" s="43"/>
      <c r="S300" s="43"/>
      <c r="T300" s="43"/>
      <c r="U300" s="42"/>
    </row>
    <row r="301" spans="1:21" ht="21" customHeight="1" x14ac:dyDescent="0.3">
      <c r="A301" s="44" t="str">
        <f t="shared" si="16"/>
        <v>1</v>
      </c>
      <c r="B301" s="41" t="str">
        <f t="shared" si="17"/>
        <v/>
      </c>
      <c r="C301" s="41" t="str">
        <f t="shared" si="18"/>
        <v/>
      </c>
      <c r="D301" s="41">
        <f t="shared" si="19"/>
        <v>1</v>
      </c>
      <c r="E301" s="62"/>
      <c r="F301" s="1"/>
      <c r="G301" s="1">
        <v>298</v>
      </c>
      <c r="H301" s="4"/>
      <c r="I301" s="4" t="str">
        <f>IF(ISERROR(VLOOKUP(H301,#REF!,9,0)),"",VLOOKUP(H301,#REF!,9,0))</f>
        <v/>
      </c>
      <c r="J301" s="42" t="s">
        <v>827</v>
      </c>
      <c r="K301" s="1" t="s">
        <v>248</v>
      </c>
      <c r="L301" s="1" t="s">
        <v>47</v>
      </c>
      <c r="M301" s="43">
        <v>2022</v>
      </c>
      <c r="N301" s="42"/>
      <c r="O301" s="43" t="s">
        <v>70</v>
      </c>
      <c r="P301" s="43"/>
      <c r="Q301" s="43"/>
      <c r="R301" s="43"/>
      <c r="S301" s="43"/>
      <c r="T301" s="43"/>
      <c r="U301" s="42"/>
    </row>
    <row r="302" spans="1:21" ht="21" customHeight="1" x14ac:dyDescent="0.3">
      <c r="A302" s="44" t="str">
        <f t="shared" si="16"/>
        <v>1</v>
      </c>
      <c r="B302" s="41" t="str">
        <f t="shared" si="17"/>
        <v/>
      </c>
      <c r="C302" s="41" t="str">
        <f t="shared" si="18"/>
        <v/>
      </c>
      <c r="D302" s="41">
        <f t="shared" si="19"/>
        <v>1</v>
      </c>
      <c r="E302" s="62"/>
      <c r="F302" s="1"/>
      <c r="G302" s="1">
        <v>299</v>
      </c>
      <c r="H302" s="4"/>
      <c r="I302" s="4" t="str">
        <f>IF(ISERROR(VLOOKUP(H302,#REF!,9,0)),"",VLOOKUP(H302,#REF!,9,0))</f>
        <v/>
      </c>
      <c r="J302" s="42" t="s">
        <v>828</v>
      </c>
      <c r="K302" s="1" t="s">
        <v>248</v>
      </c>
      <c r="L302" s="1" t="s">
        <v>47</v>
      </c>
      <c r="M302" s="43">
        <v>2022</v>
      </c>
      <c r="N302" s="42"/>
      <c r="O302" s="43" t="s">
        <v>70</v>
      </c>
      <c r="P302" s="43"/>
      <c r="Q302" s="43"/>
      <c r="R302" s="43"/>
      <c r="S302" s="43"/>
      <c r="T302" s="43"/>
      <c r="U302" s="42"/>
    </row>
    <row r="303" spans="1:21" ht="21" customHeight="1" x14ac:dyDescent="0.3">
      <c r="A303" s="44" t="str">
        <f t="shared" si="16"/>
        <v>1</v>
      </c>
      <c r="B303" s="41">
        <f t="shared" si="17"/>
        <v>1</v>
      </c>
      <c r="C303" s="41" t="str">
        <f t="shared" si="18"/>
        <v/>
      </c>
      <c r="D303" s="41" t="str">
        <f t="shared" si="19"/>
        <v/>
      </c>
      <c r="E303" s="62"/>
      <c r="F303" s="1" t="s">
        <v>291</v>
      </c>
      <c r="G303" s="1">
        <v>302</v>
      </c>
      <c r="H303" s="4" t="s">
        <v>292</v>
      </c>
      <c r="I303" s="4" t="str">
        <f>IF(ISERROR(VLOOKUP(H303,#REF!,9,0)),"",VLOOKUP(H303,#REF!,9,0))</f>
        <v/>
      </c>
      <c r="J303" s="42"/>
      <c r="K303" s="1" t="s">
        <v>248</v>
      </c>
      <c r="L303" s="1" t="s">
        <v>521</v>
      </c>
      <c r="M303" s="43" t="s">
        <v>565</v>
      </c>
      <c r="N303" s="42" t="s">
        <v>829</v>
      </c>
      <c r="O303" s="43" t="s">
        <v>88</v>
      </c>
      <c r="P303" s="43" t="s">
        <v>72</v>
      </c>
      <c r="Q303" s="43" t="s">
        <v>830</v>
      </c>
      <c r="R303" s="43"/>
      <c r="S303" s="43"/>
      <c r="T303" s="43" t="s">
        <v>831</v>
      </c>
      <c r="U303" s="42"/>
    </row>
    <row r="304" spans="1:21" ht="21" customHeight="1" x14ac:dyDescent="0.3">
      <c r="A304" s="44" t="str">
        <f t="shared" si="16"/>
        <v>1</v>
      </c>
      <c r="B304" s="41">
        <f t="shared" si="17"/>
        <v>1</v>
      </c>
      <c r="C304" s="41" t="str">
        <f t="shared" si="18"/>
        <v/>
      </c>
      <c r="D304" s="41" t="str">
        <f t="shared" si="19"/>
        <v/>
      </c>
      <c r="E304" s="62"/>
      <c r="F304" s="1" t="s">
        <v>291</v>
      </c>
      <c r="G304" s="1">
        <v>303</v>
      </c>
      <c r="H304" s="4" t="s">
        <v>293</v>
      </c>
      <c r="I304" s="4" t="str">
        <f>IF(ISERROR(VLOOKUP(H304,#REF!,9,0)),"",VLOOKUP(H304,#REF!,9,0))</f>
        <v/>
      </c>
      <c r="J304" s="42"/>
      <c r="K304" s="1" t="s">
        <v>248</v>
      </c>
      <c r="L304" s="1" t="s">
        <v>522</v>
      </c>
      <c r="M304" s="43">
        <v>2022</v>
      </c>
      <c r="N304" s="42" t="s">
        <v>832</v>
      </c>
      <c r="O304" s="43" t="s">
        <v>88</v>
      </c>
      <c r="P304" s="43" t="s">
        <v>72</v>
      </c>
      <c r="Q304" s="43"/>
      <c r="R304" s="43"/>
      <c r="S304" s="43"/>
      <c r="T304" s="43" t="s">
        <v>831</v>
      </c>
      <c r="U304" s="42"/>
    </row>
    <row r="305" spans="1:21" ht="21" customHeight="1" x14ac:dyDescent="0.3">
      <c r="A305" s="44" t="str">
        <f t="shared" si="16"/>
        <v>11</v>
      </c>
      <c r="B305" s="41">
        <f t="shared" si="17"/>
        <v>1</v>
      </c>
      <c r="C305" s="41" t="str">
        <f t="shared" si="18"/>
        <v/>
      </c>
      <c r="D305" s="41">
        <f t="shared" si="19"/>
        <v>1</v>
      </c>
      <c r="E305" s="62"/>
      <c r="F305" s="1" t="s">
        <v>291</v>
      </c>
      <c r="G305" s="1">
        <v>304</v>
      </c>
      <c r="H305" s="4" t="s">
        <v>833</v>
      </c>
      <c r="I305" s="4" t="str">
        <f>IF(ISERROR(VLOOKUP(H305,#REF!,9,0)),"",VLOOKUP(H305,#REF!,9,0))</f>
        <v/>
      </c>
      <c r="J305" s="42" t="s">
        <v>834</v>
      </c>
      <c r="K305" s="1" t="s">
        <v>248</v>
      </c>
      <c r="L305" s="1" t="s">
        <v>47</v>
      </c>
      <c r="M305" s="43">
        <v>2022</v>
      </c>
      <c r="N305" s="42" t="s">
        <v>834</v>
      </c>
      <c r="O305" s="43" t="s">
        <v>88</v>
      </c>
      <c r="P305" s="43" t="s">
        <v>72</v>
      </c>
      <c r="Q305" s="43"/>
      <c r="R305" s="43"/>
      <c r="S305" s="43"/>
      <c r="T305" s="43" t="s">
        <v>835</v>
      </c>
      <c r="U305" s="42"/>
    </row>
    <row r="306" spans="1:21" ht="21" customHeight="1" x14ac:dyDescent="0.3">
      <c r="A306" s="44" t="str">
        <f t="shared" si="16"/>
        <v>11</v>
      </c>
      <c r="B306" s="41">
        <f t="shared" si="17"/>
        <v>1</v>
      </c>
      <c r="C306" s="41" t="str">
        <f t="shared" si="18"/>
        <v/>
      </c>
      <c r="D306" s="41">
        <f t="shared" si="19"/>
        <v>1</v>
      </c>
      <c r="E306" s="62"/>
      <c r="F306" s="1" t="s">
        <v>291</v>
      </c>
      <c r="G306" s="1">
        <v>305</v>
      </c>
      <c r="H306" s="4" t="s">
        <v>836</v>
      </c>
      <c r="I306" s="4" t="str">
        <f>IF(ISERROR(VLOOKUP(H306,#REF!,9,0)),"",VLOOKUP(H306,#REF!,9,0))</f>
        <v/>
      </c>
      <c r="J306" s="42" t="s">
        <v>837</v>
      </c>
      <c r="K306" s="1" t="s">
        <v>248</v>
      </c>
      <c r="L306" s="1" t="s">
        <v>47</v>
      </c>
      <c r="M306" s="43">
        <v>2022</v>
      </c>
      <c r="N306" s="42" t="s">
        <v>838</v>
      </c>
      <c r="O306" s="43" t="s">
        <v>88</v>
      </c>
      <c r="P306" s="43" t="s">
        <v>72</v>
      </c>
      <c r="Q306" s="43"/>
      <c r="R306" s="43"/>
      <c r="S306" s="43"/>
      <c r="T306" s="43" t="s">
        <v>47</v>
      </c>
      <c r="U306" s="42" t="s">
        <v>691</v>
      </c>
    </row>
    <row r="307" spans="1:21" ht="21" customHeight="1" x14ac:dyDescent="0.3">
      <c r="A307" s="44" t="str">
        <f t="shared" si="16"/>
        <v>1</v>
      </c>
      <c r="B307" s="41">
        <f t="shared" si="17"/>
        <v>1</v>
      </c>
      <c r="C307" s="41" t="str">
        <f t="shared" si="18"/>
        <v/>
      </c>
      <c r="D307" s="41" t="str">
        <f t="shared" si="19"/>
        <v/>
      </c>
      <c r="E307" s="62"/>
      <c r="F307" s="1" t="s">
        <v>291</v>
      </c>
      <c r="G307" s="1">
        <v>306</v>
      </c>
      <c r="H307" s="4" t="s">
        <v>294</v>
      </c>
      <c r="I307" s="4" t="str">
        <f>IF(ISERROR(VLOOKUP(H307,#REF!,9,0)),"",VLOOKUP(H307,#REF!,9,0))</f>
        <v/>
      </c>
      <c r="J307" s="42"/>
      <c r="K307" s="1" t="s">
        <v>248</v>
      </c>
      <c r="L307" s="1" t="s">
        <v>521</v>
      </c>
      <c r="M307" s="43">
        <v>2022</v>
      </c>
      <c r="N307" s="42" t="s">
        <v>839</v>
      </c>
      <c r="O307" s="43" t="s">
        <v>88</v>
      </c>
      <c r="P307" s="43" t="s">
        <v>72</v>
      </c>
      <c r="Q307" s="43"/>
      <c r="R307" s="43"/>
      <c r="S307" s="43"/>
      <c r="T307" s="43" t="s">
        <v>831</v>
      </c>
      <c r="U307" s="42"/>
    </row>
    <row r="308" spans="1:21" ht="21" customHeight="1" x14ac:dyDescent="0.3">
      <c r="A308" s="44" t="str">
        <f t="shared" si="16"/>
        <v>1</v>
      </c>
      <c r="B308" s="41">
        <f t="shared" si="17"/>
        <v>1</v>
      </c>
      <c r="C308" s="41" t="str">
        <f t="shared" si="18"/>
        <v/>
      </c>
      <c r="D308" s="41" t="str">
        <f t="shared" si="19"/>
        <v/>
      </c>
      <c r="E308" s="62"/>
      <c r="F308" s="1" t="s">
        <v>291</v>
      </c>
      <c r="G308" s="1">
        <v>307</v>
      </c>
      <c r="H308" s="4" t="s">
        <v>295</v>
      </c>
      <c r="I308" s="4" t="str">
        <f>IF(ISERROR(VLOOKUP(H308,#REF!,9,0)),"",VLOOKUP(H308,#REF!,9,0))</f>
        <v/>
      </c>
      <c r="J308" s="42"/>
      <c r="K308" s="1" t="s">
        <v>248</v>
      </c>
      <c r="L308" s="1" t="s">
        <v>522</v>
      </c>
      <c r="M308" s="43">
        <v>2022</v>
      </c>
      <c r="N308" s="42" t="s">
        <v>840</v>
      </c>
      <c r="O308" s="43" t="s">
        <v>88</v>
      </c>
      <c r="P308" s="43" t="s">
        <v>72</v>
      </c>
      <c r="Q308" s="43"/>
      <c r="R308" s="43"/>
      <c r="S308" s="43"/>
      <c r="T308" s="43" t="s">
        <v>831</v>
      </c>
      <c r="U308" s="42"/>
    </row>
    <row r="309" spans="1:21" ht="21" customHeight="1" x14ac:dyDescent="0.3">
      <c r="A309" s="44" t="str">
        <f t="shared" si="16"/>
        <v>1</v>
      </c>
      <c r="B309" s="41">
        <f t="shared" si="17"/>
        <v>1</v>
      </c>
      <c r="C309" s="41" t="str">
        <f t="shared" si="18"/>
        <v/>
      </c>
      <c r="D309" s="41" t="str">
        <f t="shared" si="19"/>
        <v/>
      </c>
      <c r="E309" s="62"/>
      <c r="F309" s="1" t="s">
        <v>291</v>
      </c>
      <c r="G309" s="1">
        <v>308</v>
      </c>
      <c r="H309" s="4" t="s">
        <v>296</v>
      </c>
      <c r="I309" s="4" t="str">
        <f>IF(ISERROR(VLOOKUP(H309,#REF!,9,0)),"",VLOOKUP(H309,#REF!,9,0))</f>
        <v/>
      </c>
      <c r="J309" s="42"/>
      <c r="K309" s="1" t="s">
        <v>248</v>
      </c>
      <c r="L309" s="1" t="s">
        <v>522</v>
      </c>
      <c r="M309" s="43">
        <v>2022</v>
      </c>
      <c r="N309" s="42" t="s">
        <v>841</v>
      </c>
      <c r="O309" s="43" t="s">
        <v>88</v>
      </c>
      <c r="P309" s="43" t="s">
        <v>72</v>
      </c>
      <c r="Q309" s="43"/>
      <c r="R309" s="43"/>
      <c r="S309" s="43"/>
      <c r="T309" s="43" t="s">
        <v>47</v>
      </c>
      <c r="U309" s="42"/>
    </row>
    <row r="310" spans="1:21" ht="21" customHeight="1" x14ac:dyDescent="0.3">
      <c r="A310" s="44" t="str">
        <f t="shared" si="16"/>
        <v>1</v>
      </c>
      <c r="B310" s="41">
        <f t="shared" si="17"/>
        <v>1</v>
      </c>
      <c r="C310" s="41" t="str">
        <f t="shared" si="18"/>
        <v/>
      </c>
      <c r="D310" s="41" t="str">
        <f t="shared" si="19"/>
        <v/>
      </c>
      <c r="E310" s="62"/>
      <c r="F310" s="1" t="s">
        <v>291</v>
      </c>
      <c r="G310" s="1">
        <v>309</v>
      </c>
      <c r="H310" s="4" t="s">
        <v>297</v>
      </c>
      <c r="I310" s="4" t="str">
        <f>IF(ISERROR(VLOOKUP(H310,#REF!,9,0)),"",VLOOKUP(H310,#REF!,9,0))</f>
        <v/>
      </c>
      <c r="J310" s="42"/>
      <c r="K310" s="1" t="s">
        <v>248</v>
      </c>
      <c r="L310" s="1" t="s">
        <v>522</v>
      </c>
      <c r="M310" s="43">
        <v>2022</v>
      </c>
      <c r="N310" s="42" t="s">
        <v>842</v>
      </c>
      <c r="O310" s="43" t="s">
        <v>88</v>
      </c>
      <c r="P310" s="43" t="s">
        <v>72</v>
      </c>
      <c r="Q310" s="43"/>
      <c r="R310" s="43"/>
      <c r="S310" s="43"/>
      <c r="T310" s="43" t="s">
        <v>831</v>
      </c>
      <c r="U310" s="42"/>
    </row>
    <row r="311" spans="1:21" ht="21" customHeight="1" x14ac:dyDescent="0.3">
      <c r="A311" s="44" t="str">
        <f t="shared" si="16"/>
        <v>1</v>
      </c>
      <c r="B311" s="41">
        <f t="shared" si="17"/>
        <v>1</v>
      </c>
      <c r="C311" s="41" t="str">
        <f t="shared" si="18"/>
        <v/>
      </c>
      <c r="D311" s="41" t="str">
        <f t="shared" si="19"/>
        <v/>
      </c>
      <c r="E311" s="62"/>
      <c r="F311" s="1" t="s">
        <v>291</v>
      </c>
      <c r="G311" s="1">
        <v>310</v>
      </c>
      <c r="H311" s="4" t="s">
        <v>298</v>
      </c>
      <c r="I311" s="4" t="str">
        <f>IF(ISERROR(VLOOKUP(H311,#REF!,9,0)),"",VLOOKUP(H311,#REF!,9,0))</f>
        <v/>
      </c>
      <c r="J311" s="42"/>
      <c r="K311" s="1" t="s">
        <v>248</v>
      </c>
      <c r="L311" s="1" t="s">
        <v>521</v>
      </c>
      <c r="M311" s="43">
        <v>2022</v>
      </c>
      <c r="N311" s="42" t="s">
        <v>843</v>
      </c>
      <c r="O311" s="43" t="s">
        <v>88</v>
      </c>
      <c r="P311" s="43" t="s">
        <v>72</v>
      </c>
      <c r="Q311" s="43"/>
      <c r="R311" s="43"/>
      <c r="S311" s="43"/>
      <c r="T311" s="43" t="s">
        <v>831</v>
      </c>
      <c r="U311" s="42"/>
    </row>
    <row r="312" spans="1:21" ht="21" customHeight="1" x14ac:dyDescent="0.3">
      <c r="A312" s="44" t="str">
        <f t="shared" si="16"/>
        <v>11</v>
      </c>
      <c r="B312" s="41">
        <f t="shared" si="17"/>
        <v>1</v>
      </c>
      <c r="C312" s="41" t="str">
        <f t="shared" si="18"/>
        <v/>
      </c>
      <c r="D312" s="41">
        <f t="shared" si="19"/>
        <v>1</v>
      </c>
      <c r="E312" s="62" t="s">
        <v>299</v>
      </c>
      <c r="F312" s="1"/>
      <c r="G312" s="1">
        <v>311</v>
      </c>
      <c r="H312" s="4" t="s">
        <v>300</v>
      </c>
      <c r="I312" s="4" t="str">
        <f>IF(ISERROR(VLOOKUP(H312,#REF!,9,0)),"",VLOOKUP(H312,#REF!,9,0))</f>
        <v/>
      </c>
      <c r="J312" s="42" t="s">
        <v>844</v>
      </c>
      <c r="K312" s="1" t="s">
        <v>299</v>
      </c>
      <c r="L312" s="1" t="s">
        <v>47</v>
      </c>
      <c r="M312" s="43">
        <v>2022</v>
      </c>
      <c r="N312" s="42"/>
      <c r="O312" s="43" t="s">
        <v>70</v>
      </c>
      <c r="P312" s="43" t="s">
        <v>845</v>
      </c>
      <c r="Q312" s="43" t="s">
        <v>11</v>
      </c>
      <c r="R312" s="47">
        <v>44803</v>
      </c>
      <c r="S312" s="47">
        <v>44814</v>
      </c>
      <c r="T312" s="43" t="s">
        <v>835</v>
      </c>
      <c r="U312" s="42" t="s">
        <v>691</v>
      </c>
    </row>
    <row r="313" spans="1:21" ht="21" customHeight="1" x14ac:dyDescent="0.3">
      <c r="A313" s="44" t="str">
        <f t="shared" si="16"/>
        <v>11</v>
      </c>
      <c r="B313" s="41">
        <f t="shared" si="17"/>
        <v>1</v>
      </c>
      <c r="C313" s="41" t="str">
        <f t="shared" si="18"/>
        <v/>
      </c>
      <c r="D313" s="41">
        <f t="shared" si="19"/>
        <v>1</v>
      </c>
      <c r="E313" s="62"/>
      <c r="F313" s="1"/>
      <c r="G313" s="1">
        <v>312</v>
      </c>
      <c r="H313" s="4" t="s">
        <v>846</v>
      </c>
      <c r="I313" s="4" t="str">
        <f>IF(ISERROR(VLOOKUP(H313,#REF!,9,0)),"",VLOOKUP(H313,#REF!,9,0))</f>
        <v/>
      </c>
      <c r="J313" s="42" t="s">
        <v>847</v>
      </c>
      <c r="K313" s="1" t="s">
        <v>299</v>
      </c>
      <c r="L313" s="1" t="s">
        <v>47</v>
      </c>
      <c r="M313" s="43">
        <v>2022</v>
      </c>
      <c r="N313" s="42"/>
      <c r="O313" s="43" t="s">
        <v>70</v>
      </c>
      <c r="P313" s="43" t="s">
        <v>845</v>
      </c>
      <c r="Q313" s="43" t="s">
        <v>11</v>
      </c>
      <c r="R313" s="47">
        <v>44803</v>
      </c>
      <c r="S313" s="47">
        <v>44814</v>
      </c>
      <c r="T313" s="43" t="s">
        <v>47</v>
      </c>
      <c r="U313" s="42" t="s">
        <v>691</v>
      </c>
    </row>
    <row r="314" spans="1:21" ht="21" customHeight="1" x14ac:dyDescent="0.3">
      <c r="A314" s="44" t="str">
        <f t="shared" si="16"/>
        <v>11</v>
      </c>
      <c r="B314" s="41">
        <f t="shared" si="17"/>
        <v>1</v>
      </c>
      <c r="C314" s="41" t="str">
        <f t="shared" si="18"/>
        <v/>
      </c>
      <c r="D314" s="41">
        <f t="shared" si="19"/>
        <v>1</v>
      </c>
      <c r="E314" s="62"/>
      <c r="F314" s="1"/>
      <c r="G314" s="1">
        <v>313</v>
      </c>
      <c r="H314" s="4" t="s">
        <v>301</v>
      </c>
      <c r="I314" s="4" t="str">
        <f>IF(ISERROR(VLOOKUP(H314,#REF!,9,0)),"",VLOOKUP(H314,#REF!,9,0))</f>
        <v/>
      </c>
      <c r="J314" s="42" t="s">
        <v>848</v>
      </c>
      <c r="K314" s="1" t="s">
        <v>299</v>
      </c>
      <c r="L314" s="1" t="s">
        <v>47</v>
      </c>
      <c r="M314" s="43">
        <v>2022</v>
      </c>
      <c r="N314" s="42"/>
      <c r="O314" s="43" t="s">
        <v>70</v>
      </c>
      <c r="P314" s="43" t="s">
        <v>845</v>
      </c>
      <c r="Q314" s="43" t="s">
        <v>11</v>
      </c>
      <c r="R314" s="47">
        <v>44803</v>
      </c>
      <c r="S314" s="47">
        <v>44814</v>
      </c>
      <c r="T314" s="43" t="s">
        <v>835</v>
      </c>
      <c r="U314" s="42" t="s">
        <v>691</v>
      </c>
    </row>
    <row r="315" spans="1:21" ht="21" customHeight="1" x14ac:dyDescent="0.3">
      <c r="A315" s="44" t="str">
        <f t="shared" si="16"/>
        <v>1</v>
      </c>
      <c r="B315" s="41">
        <f t="shared" si="17"/>
        <v>1</v>
      </c>
      <c r="C315" s="41" t="str">
        <f t="shared" si="18"/>
        <v/>
      </c>
      <c r="D315" s="41" t="str">
        <f t="shared" si="19"/>
        <v/>
      </c>
      <c r="E315" s="62"/>
      <c r="F315" s="1"/>
      <c r="G315" s="1">
        <v>314</v>
      </c>
      <c r="H315" s="4" t="s">
        <v>302</v>
      </c>
      <c r="I315" s="4" t="str">
        <f>IF(ISERROR(VLOOKUP(H315,#REF!,9,0)),"",VLOOKUP(H315,#REF!,9,0))</f>
        <v/>
      </c>
      <c r="J315" s="42"/>
      <c r="K315" s="1" t="s">
        <v>299</v>
      </c>
      <c r="L315" s="1" t="s">
        <v>522</v>
      </c>
      <c r="M315" s="43">
        <v>2022</v>
      </c>
      <c r="N315" s="42"/>
      <c r="O315" s="43" t="s">
        <v>70</v>
      </c>
      <c r="P315" s="43"/>
      <c r="Q315" s="43"/>
      <c r="R315" s="43"/>
      <c r="S315" s="43"/>
      <c r="T315" s="43"/>
      <c r="U315" s="42"/>
    </row>
    <row r="316" spans="1:21" ht="21" customHeight="1" x14ac:dyDescent="0.3">
      <c r="A316" s="44" t="str">
        <f t="shared" si="16"/>
        <v>1</v>
      </c>
      <c r="B316" s="41">
        <f t="shared" si="17"/>
        <v>1</v>
      </c>
      <c r="C316" s="41" t="str">
        <f t="shared" si="18"/>
        <v/>
      </c>
      <c r="D316" s="41" t="str">
        <f t="shared" si="19"/>
        <v/>
      </c>
      <c r="E316" s="62"/>
      <c r="F316" s="1"/>
      <c r="G316" s="1">
        <v>315</v>
      </c>
      <c r="H316" s="42" t="s">
        <v>303</v>
      </c>
      <c r="I316" s="4" t="str">
        <f>IF(ISERROR(VLOOKUP(H316,#REF!,9,0)),"",VLOOKUP(H316,#REF!,9,0))</f>
        <v/>
      </c>
      <c r="J316" s="42"/>
      <c r="K316" s="1" t="s">
        <v>299</v>
      </c>
      <c r="L316" s="1" t="s">
        <v>522</v>
      </c>
      <c r="M316" s="43">
        <v>2022</v>
      </c>
      <c r="N316" s="42"/>
      <c r="O316" s="43" t="s">
        <v>88</v>
      </c>
      <c r="P316" s="43"/>
      <c r="Q316" s="43"/>
      <c r="R316" s="43"/>
      <c r="S316" s="43"/>
      <c r="T316" s="43"/>
      <c r="U316" s="42"/>
    </row>
    <row r="317" spans="1:21" ht="21" customHeight="1" x14ac:dyDescent="0.3">
      <c r="A317" s="44" t="str">
        <f t="shared" si="16"/>
        <v>1</v>
      </c>
      <c r="B317" s="41">
        <f t="shared" si="17"/>
        <v>1</v>
      </c>
      <c r="C317" s="41" t="str">
        <f t="shared" si="18"/>
        <v/>
      </c>
      <c r="D317" s="41" t="str">
        <f t="shared" si="19"/>
        <v/>
      </c>
      <c r="E317" s="62"/>
      <c r="F317" s="1"/>
      <c r="G317" s="1">
        <v>316</v>
      </c>
      <c r="H317" s="4" t="s">
        <v>304</v>
      </c>
      <c r="I317" s="4" t="str">
        <f>IF(ISERROR(VLOOKUP(H317,#REF!,9,0)),"",VLOOKUP(H317,#REF!,9,0))</f>
        <v/>
      </c>
      <c r="J317" s="42"/>
      <c r="K317" s="1" t="s">
        <v>299</v>
      </c>
      <c r="L317" s="1" t="s">
        <v>522</v>
      </c>
      <c r="M317" s="43">
        <v>2022</v>
      </c>
      <c r="N317" s="42"/>
      <c r="O317" s="43" t="s">
        <v>70</v>
      </c>
      <c r="P317" s="43"/>
      <c r="Q317" s="43"/>
      <c r="R317" s="43"/>
      <c r="S317" s="43"/>
      <c r="T317" s="43"/>
      <c r="U317" s="42"/>
    </row>
    <row r="318" spans="1:21" ht="21" customHeight="1" x14ac:dyDescent="0.3">
      <c r="A318" s="44" t="str">
        <f t="shared" si="16"/>
        <v>1</v>
      </c>
      <c r="B318" s="41">
        <f t="shared" si="17"/>
        <v>1</v>
      </c>
      <c r="C318" s="41" t="str">
        <f t="shared" si="18"/>
        <v/>
      </c>
      <c r="D318" s="41" t="str">
        <f t="shared" si="19"/>
        <v/>
      </c>
      <c r="E318" s="62" t="s">
        <v>305</v>
      </c>
      <c r="F318" s="1" t="s">
        <v>306</v>
      </c>
      <c r="G318" s="1">
        <v>317</v>
      </c>
      <c r="H318" s="4" t="s">
        <v>307</v>
      </c>
      <c r="I318" s="4" t="str">
        <f>IF(ISERROR(VLOOKUP(H318,#REF!,9,0)),"",VLOOKUP(H318,#REF!,9,0))</f>
        <v/>
      </c>
      <c r="J318" s="42"/>
      <c r="K318" s="1" t="s">
        <v>305</v>
      </c>
      <c r="L318" s="1" t="s">
        <v>522</v>
      </c>
      <c r="M318" s="43">
        <v>2022</v>
      </c>
      <c r="N318" s="42"/>
      <c r="O318" s="43" t="s">
        <v>237</v>
      </c>
      <c r="P318" s="43"/>
      <c r="Q318" s="43"/>
      <c r="R318" s="43"/>
      <c r="S318" s="43"/>
      <c r="T318" s="43"/>
      <c r="U318" s="42"/>
    </row>
    <row r="319" spans="1:21" ht="21" customHeight="1" x14ac:dyDescent="0.3">
      <c r="A319" s="44" t="str">
        <f t="shared" si="16"/>
        <v>1</v>
      </c>
      <c r="B319" s="41" t="str">
        <f t="shared" si="17"/>
        <v/>
      </c>
      <c r="C319" s="41" t="str">
        <f t="shared" si="18"/>
        <v/>
      </c>
      <c r="D319" s="41">
        <f t="shared" si="19"/>
        <v>1</v>
      </c>
      <c r="E319" s="62"/>
      <c r="F319" s="1"/>
      <c r="G319" s="1">
        <v>318</v>
      </c>
      <c r="H319" s="4"/>
      <c r="I319" s="4" t="str">
        <f>IF(ISERROR(VLOOKUP(H319,#REF!,9,0)),"",VLOOKUP(H319,#REF!,9,0))</f>
        <v/>
      </c>
      <c r="J319" s="42" t="s">
        <v>849</v>
      </c>
      <c r="K319" s="1" t="s">
        <v>305</v>
      </c>
      <c r="L319" s="1" t="s">
        <v>47</v>
      </c>
      <c r="M319" s="43">
        <v>2022</v>
      </c>
      <c r="N319" s="42"/>
      <c r="O319" s="43" t="s">
        <v>237</v>
      </c>
      <c r="P319" s="43"/>
      <c r="Q319" s="43"/>
      <c r="R319" s="43"/>
      <c r="S319" s="43"/>
      <c r="T319" s="43"/>
      <c r="U319" s="42"/>
    </row>
    <row r="320" spans="1:21" ht="21" customHeight="1" x14ac:dyDescent="0.3">
      <c r="A320" s="44" t="str">
        <f t="shared" si="16"/>
        <v>1</v>
      </c>
      <c r="B320" s="41" t="str">
        <f t="shared" si="17"/>
        <v/>
      </c>
      <c r="C320" s="41" t="str">
        <f t="shared" si="18"/>
        <v/>
      </c>
      <c r="D320" s="41">
        <f t="shared" si="19"/>
        <v>1</v>
      </c>
      <c r="E320" s="62"/>
      <c r="F320" s="1"/>
      <c r="G320" s="1">
        <v>319</v>
      </c>
      <c r="H320" s="4"/>
      <c r="I320" s="4" t="str">
        <f>IF(ISERROR(VLOOKUP(H320,#REF!,9,0)),"",VLOOKUP(H320,#REF!,9,0))</f>
        <v/>
      </c>
      <c r="J320" s="42" t="s">
        <v>850</v>
      </c>
      <c r="K320" s="1" t="s">
        <v>305</v>
      </c>
      <c r="L320" s="1" t="s">
        <v>47</v>
      </c>
      <c r="M320" s="43">
        <v>2022</v>
      </c>
      <c r="N320" s="42"/>
      <c r="O320" s="43" t="s">
        <v>237</v>
      </c>
      <c r="P320" s="43"/>
      <c r="Q320" s="43"/>
      <c r="R320" s="43"/>
      <c r="S320" s="43"/>
      <c r="T320" s="43"/>
      <c r="U320" s="42"/>
    </row>
    <row r="321" spans="1:21" ht="21" customHeight="1" x14ac:dyDescent="0.3">
      <c r="A321" s="44" t="str">
        <f t="shared" si="16"/>
        <v>11</v>
      </c>
      <c r="B321" s="41">
        <f t="shared" si="17"/>
        <v>1</v>
      </c>
      <c r="C321" s="41" t="str">
        <f t="shared" si="18"/>
        <v/>
      </c>
      <c r="D321" s="41">
        <f t="shared" si="19"/>
        <v>1</v>
      </c>
      <c r="E321" s="62"/>
      <c r="F321" s="1"/>
      <c r="G321" s="1">
        <v>320</v>
      </c>
      <c r="H321" s="4" t="s">
        <v>851</v>
      </c>
      <c r="I321" s="4" t="str">
        <f>IF(ISERROR(VLOOKUP(H321,#REF!,9,0)),"",VLOOKUP(H321,#REF!,9,0))</f>
        <v/>
      </c>
      <c r="J321" s="42" t="s">
        <v>852</v>
      </c>
      <c r="K321" s="1" t="s">
        <v>305</v>
      </c>
      <c r="L321" s="1" t="s">
        <v>47</v>
      </c>
      <c r="M321" s="43">
        <v>2022</v>
      </c>
      <c r="N321" s="42"/>
      <c r="O321" s="43" t="s">
        <v>237</v>
      </c>
      <c r="P321" s="43"/>
      <c r="Q321" s="43"/>
      <c r="R321" s="43"/>
      <c r="S321" s="43"/>
      <c r="T321" s="43"/>
      <c r="U321" s="42"/>
    </row>
    <row r="322" spans="1:21" ht="21" customHeight="1" x14ac:dyDescent="0.3">
      <c r="A322" s="44" t="str">
        <f t="shared" si="16"/>
        <v>1</v>
      </c>
      <c r="B322" s="41">
        <f t="shared" si="17"/>
        <v>1</v>
      </c>
      <c r="C322" s="41" t="str">
        <f t="shared" si="18"/>
        <v/>
      </c>
      <c r="D322" s="41" t="str">
        <f t="shared" si="19"/>
        <v/>
      </c>
      <c r="E322" s="62"/>
      <c r="F322" s="1"/>
      <c r="G322" s="1">
        <v>321</v>
      </c>
      <c r="H322" s="4" t="s">
        <v>308</v>
      </c>
      <c r="I322" s="4" t="str">
        <f>IF(ISERROR(VLOOKUP(H322,#REF!,9,0)),"",VLOOKUP(H322,#REF!,9,0))</f>
        <v/>
      </c>
      <c r="J322" s="42"/>
      <c r="K322" s="1" t="s">
        <v>305</v>
      </c>
      <c r="L322" s="1" t="s">
        <v>522</v>
      </c>
      <c r="M322" s="43">
        <v>2022</v>
      </c>
      <c r="N322" s="42"/>
      <c r="O322" s="43" t="s">
        <v>237</v>
      </c>
      <c r="P322" s="43"/>
      <c r="Q322" s="43"/>
      <c r="R322" s="43"/>
      <c r="S322" s="43"/>
      <c r="T322" s="43"/>
      <c r="U322" s="42"/>
    </row>
    <row r="323" spans="1:21" ht="21" customHeight="1" x14ac:dyDescent="0.3">
      <c r="A323" s="44" t="str">
        <f t="shared" si="16"/>
        <v>1</v>
      </c>
      <c r="B323" s="41">
        <f t="shared" si="17"/>
        <v>1</v>
      </c>
      <c r="C323" s="41" t="str">
        <f t="shared" si="18"/>
        <v/>
      </c>
      <c r="D323" s="41" t="str">
        <f t="shared" si="19"/>
        <v/>
      </c>
      <c r="E323" s="62"/>
      <c r="F323" s="1"/>
      <c r="G323" s="1">
        <v>322</v>
      </c>
      <c r="H323" s="4" t="s">
        <v>309</v>
      </c>
      <c r="I323" s="4" t="str">
        <f>IF(ISERROR(VLOOKUP(H323,#REF!,9,0)),"",VLOOKUP(H323,#REF!,9,0))</f>
        <v/>
      </c>
      <c r="J323" s="42"/>
      <c r="K323" s="1" t="s">
        <v>305</v>
      </c>
      <c r="L323" s="1" t="s">
        <v>522</v>
      </c>
      <c r="M323" s="43">
        <v>2022</v>
      </c>
      <c r="N323" s="42"/>
      <c r="O323" s="43" t="s">
        <v>237</v>
      </c>
      <c r="P323" s="43"/>
      <c r="Q323" s="43"/>
      <c r="R323" s="43"/>
      <c r="S323" s="43"/>
      <c r="T323" s="43"/>
      <c r="U323" s="42"/>
    </row>
    <row r="324" spans="1:21" ht="21" customHeight="1" x14ac:dyDescent="0.3">
      <c r="A324" s="44" t="str">
        <f t="shared" ref="A324:A387" si="20">B324&amp;D324</f>
        <v>1</v>
      </c>
      <c r="B324" s="41" t="str">
        <f t="shared" ref="B324:B387" si="21">IF(H324="","",1)</f>
        <v/>
      </c>
      <c r="C324" s="41" t="str">
        <f t="shared" ref="C324:C387" si="22">IF(I324="","",1)</f>
        <v/>
      </c>
      <c r="D324" s="41">
        <f t="shared" ref="D324:D387" si="23">IF(J324="","",1)</f>
        <v>1</v>
      </c>
      <c r="E324" s="62"/>
      <c r="F324" s="1"/>
      <c r="G324" s="1">
        <v>323</v>
      </c>
      <c r="H324" s="4"/>
      <c r="I324" s="4" t="str">
        <f>IF(ISERROR(VLOOKUP(H324,#REF!,9,0)),"",VLOOKUP(H324,#REF!,9,0))</f>
        <v/>
      </c>
      <c r="J324" s="42" t="s">
        <v>853</v>
      </c>
      <c r="K324" s="1" t="s">
        <v>305</v>
      </c>
      <c r="L324" s="1" t="s">
        <v>47</v>
      </c>
      <c r="M324" s="43">
        <v>2022</v>
      </c>
      <c r="N324" s="42"/>
      <c r="O324" s="43" t="s">
        <v>237</v>
      </c>
      <c r="P324" s="43"/>
      <c r="Q324" s="43"/>
      <c r="R324" s="43"/>
      <c r="S324" s="43"/>
      <c r="T324" s="43"/>
      <c r="U324" s="42"/>
    </row>
    <row r="325" spans="1:21" ht="21" customHeight="1" x14ac:dyDescent="0.3">
      <c r="A325" s="44" t="str">
        <f t="shared" si="20"/>
        <v>1</v>
      </c>
      <c r="B325" s="41" t="str">
        <f t="shared" si="21"/>
        <v/>
      </c>
      <c r="C325" s="41" t="str">
        <f t="shared" si="22"/>
        <v/>
      </c>
      <c r="D325" s="41">
        <f t="shared" si="23"/>
        <v>1</v>
      </c>
      <c r="E325" s="62"/>
      <c r="F325" s="1"/>
      <c r="G325" s="1">
        <v>324</v>
      </c>
      <c r="H325" s="4"/>
      <c r="I325" s="4" t="str">
        <f>IF(ISERROR(VLOOKUP(H325,#REF!,9,0)),"",VLOOKUP(H325,#REF!,9,0))</f>
        <v/>
      </c>
      <c r="J325" s="42" t="s">
        <v>854</v>
      </c>
      <c r="K325" s="1" t="s">
        <v>305</v>
      </c>
      <c r="L325" s="1" t="s">
        <v>47</v>
      </c>
      <c r="M325" s="43">
        <v>2022</v>
      </c>
      <c r="N325" s="42"/>
      <c r="O325" s="43" t="s">
        <v>237</v>
      </c>
      <c r="P325" s="43"/>
      <c r="Q325" s="43"/>
      <c r="R325" s="43"/>
      <c r="S325" s="43"/>
      <c r="T325" s="43"/>
      <c r="U325" s="42"/>
    </row>
    <row r="326" spans="1:21" ht="21" customHeight="1" x14ac:dyDescent="0.3">
      <c r="A326" s="44" t="str">
        <f t="shared" si="20"/>
        <v>11</v>
      </c>
      <c r="B326" s="41">
        <f t="shared" si="21"/>
        <v>1</v>
      </c>
      <c r="C326" s="41" t="str">
        <f t="shared" si="22"/>
        <v/>
      </c>
      <c r="D326" s="41">
        <f t="shared" si="23"/>
        <v>1</v>
      </c>
      <c r="E326" s="62"/>
      <c r="F326" s="1"/>
      <c r="G326" s="1">
        <v>325</v>
      </c>
      <c r="H326" s="4" t="s">
        <v>855</v>
      </c>
      <c r="I326" s="4" t="str">
        <f>IF(ISERROR(VLOOKUP(H326,#REF!,9,0)),"",VLOOKUP(H326,#REF!,9,0))</f>
        <v/>
      </c>
      <c r="J326" s="42" t="s">
        <v>856</v>
      </c>
      <c r="K326" s="1" t="s">
        <v>305</v>
      </c>
      <c r="L326" s="1" t="s">
        <v>47</v>
      </c>
      <c r="M326" s="43">
        <v>2022</v>
      </c>
      <c r="N326" s="42"/>
      <c r="O326" s="43" t="s">
        <v>237</v>
      </c>
      <c r="P326" s="43"/>
      <c r="Q326" s="43"/>
      <c r="R326" s="43"/>
      <c r="S326" s="43"/>
      <c r="T326" s="43"/>
      <c r="U326" s="42"/>
    </row>
    <row r="327" spans="1:21" ht="21" customHeight="1" x14ac:dyDescent="0.3">
      <c r="A327" s="44" t="str">
        <f t="shared" si="20"/>
        <v>1</v>
      </c>
      <c r="B327" s="41" t="str">
        <f t="shared" si="21"/>
        <v/>
      </c>
      <c r="C327" s="41" t="str">
        <f t="shared" si="22"/>
        <v/>
      </c>
      <c r="D327" s="41">
        <f t="shared" si="23"/>
        <v>1</v>
      </c>
      <c r="E327" s="62"/>
      <c r="F327" s="1"/>
      <c r="G327" s="1">
        <v>326</v>
      </c>
      <c r="H327" s="4"/>
      <c r="I327" s="4" t="str">
        <f>IF(ISERROR(VLOOKUP(H327,#REF!,9,0)),"",VLOOKUP(H327,#REF!,9,0))</f>
        <v/>
      </c>
      <c r="J327" s="42" t="s">
        <v>857</v>
      </c>
      <c r="K327" s="1" t="s">
        <v>305</v>
      </c>
      <c r="L327" s="1" t="s">
        <v>47</v>
      </c>
      <c r="M327" s="43">
        <v>2022</v>
      </c>
      <c r="N327" s="42"/>
      <c r="O327" s="43" t="s">
        <v>237</v>
      </c>
      <c r="P327" s="43"/>
      <c r="Q327" s="43"/>
      <c r="R327" s="43"/>
      <c r="S327" s="43"/>
      <c r="T327" s="43"/>
      <c r="U327" s="42"/>
    </row>
    <row r="328" spans="1:21" ht="21" customHeight="1" x14ac:dyDescent="0.3">
      <c r="A328" s="44" t="str">
        <f t="shared" si="20"/>
        <v>1</v>
      </c>
      <c r="B328" s="41">
        <f t="shared" si="21"/>
        <v>1</v>
      </c>
      <c r="C328" s="41" t="str">
        <f t="shared" si="22"/>
        <v/>
      </c>
      <c r="D328" s="41" t="str">
        <f t="shared" si="23"/>
        <v/>
      </c>
      <c r="E328" s="62"/>
      <c r="F328" s="1"/>
      <c r="G328" s="1">
        <v>327</v>
      </c>
      <c r="H328" s="4" t="s">
        <v>310</v>
      </c>
      <c r="I328" s="4" t="str">
        <f>IF(ISERROR(VLOOKUP(H328,#REF!,9,0)),"",VLOOKUP(H328,#REF!,9,0))</f>
        <v/>
      </c>
      <c r="J328" s="42"/>
      <c r="K328" s="1" t="s">
        <v>305</v>
      </c>
      <c r="L328" s="1" t="s">
        <v>522</v>
      </c>
      <c r="M328" s="43">
        <v>2022</v>
      </c>
      <c r="N328" s="42"/>
      <c r="O328" s="43" t="s">
        <v>237</v>
      </c>
      <c r="P328" s="43"/>
      <c r="Q328" s="43"/>
      <c r="R328" s="43"/>
      <c r="S328" s="43"/>
      <c r="T328" s="43"/>
      <c r="U328" s="42"/>
    </row>
    <row r="329" spans="1:21" ht="21" customHeight="1" x14ac:dyDescent="0.3">
      <c r="A329" s="44" t="str">
        <f t="shared" si="20"/>
        <v>11</v>
      </c>
      <c r="B329" s="41">
        <f t="shared" si="21"/>
        <v>1</v>
      </c>
      <c r="C329" s="41" t="str">
        <f t="shared" si="22"/>
        <v/>
      </c>
      <c r="D329" s="41">
        <f t="shared" si="23"/>
        <v>1</v>
      </c>
      <c r="E329" s="62"/>
      <c r="F329" s="1"/>
      <c r="G329" s="1">
        <v>328</v>
      </c>
      <c r="H329" s="4" t="s">
        <v>858</v>
      </c>
      <c r="I329" s="4" t="str">
        <f>IF(ISERROR(VLOOKUP(H329,#REF!,9,0)),"",VLOOKUP(H329,#REF!,9,0))</f>
        <v/>
      </c>
      <c r="J329" s="42" t="s">
        <v>859</v>
      </c>
      <c r="K329" s="1" t="s">
        <v>305</v>
      </c>
      <c r="L329" s="1" t="s">
        <v>47</v>
      </c>
      <c r="M329" s="43">
        <v>2022</v>
      </c>
      <c r="N329" s="42"/>
      <c r="O329" s="43" t="s">
        <v>237</v>
      </c>
      <c r="P329" s="43"/>
      <c r="Q329" s="43"/>
      <c r="R329" s="43"/>
      <c r="S329" s="43"/>
      <c r="T329" s="43"/>
      <c r="U329" s="42"/>
    </row>
    <row r="330" spans="1:21" ht="21" customHeight="1" x14ac:dyDescent="0.3">
      <c r="A330" s="44" t="str">
        <f t="shared" si="20"/>
        <v>11</v>
      </c>
      <c r="B330" s="41">
        <f t="shared" si="21"/>
        <v>1</v>
      </c>
      <c r="C330" s="41" t="str">
        <f t="shared" si="22"/>
        <v/>
      </c>
      <c r="D330" s="41">
        <f t="shared" si="23"/>
        <v>1</v>
      </c>
      <c r="E330" s="62"/>
      <c r="F330" s="1"/>
      <c r="G330" s="1">
        <v>329</v>
      </c>
      <c r="H330" s="4" t="s">
        <v>860</v>
      </c>
      <c r="I330" s="4" t="str">
        <f>IF(ISERROR(VLOOKUP(H330,#REF!,9,0)),"",VLOOKUP(H330,#REF!,9,0))</f>
        <v/>
      </c>
      <c r="J330" s="42" t="s">
        <v>861</v>
      </c>
      <c r="K330" s="1" t="s">
        <v>305</v>
      </c>
      <c r="L330" s="1" t="s">
        <v>47</v>
      </c>
      <c r="M330" s="43">
        <v>2022</v>
      </c>
      <c r="N330" s="42"/>
      <c r="O330" s="43" t="s">
        <v>237</v>
      </c>
      <c r="P330" s="43"/>
      <c r="Q330" s="43"/>
      <c r="R330" s="43"/>
      <c r="S330" s="43"/>
      <c r="T330" s="43"/>
      <c r="U330" s="42"/>
    </row>
    <row r="331" spans="1:21" ht="21" customHeight="1" x14ac:dyDescent="0.3">
      <c r="A331" s="44" t="str">
        <f t="shared" si="20"/>
        <v>11</v>
      </c>
      <c r="B331" s="41">
        <f t="shared" si="21"/>
        <v>1</v>
      </c>
      <c r="C331" s="41" t="str">
        <f t="shared" si="22"/>
        <v/>
      </c>
      <c r="D331" s="41">
        <f t="shared" si="23"/>
        <v>1</v>
      </c>
      <c r="E331" s="62"/>
      <c r="F331" s="1"/>
      <c r="G331" s="1">
        <v>330</v>
      </c>
      <c r="H331" s="4" t="s">
        <v>862</v>
      </c>
      <c r="I331" s="4" t="str">
        <f>IF(ISERROR(VLOOKUP(H331,#REF!,9,0)),"",VLOOKUP(H331,#REF!,9,0))</f>
        <v/>
      </c>
      <c r="J331" s="42" t="s">
        <v>863</v>
      </c>
      <c r="K331" s="1" t="s">
        <v>305</v>
      </c>
      <c r="L331" s="1" t="s">
        <v>47</v>
      </c>
      <c r="M331" s="43">
        <v>2022</v>
      </c>
      <c r="N331" s="42"/>
      <c r="O331" s="43" t="s">
        <v>237</v>
      </c>
      <c r="P331" s="43"/>
      <c r="Q331" s="43"/>
      <c r="R331" s="43"/>
      <c r="S331" s="43"/>
      <c r="T331" s="43"/>
      <c r="U331" s="42"/>
    </row>
    <row r="332" spans="1:21" ht="21" customHeight="1" x14ac:dyDescent="0.3">
      <c r="A332" s="44" t="str">
        <f t="shared" si="20"/>
        <v>11</v>
      </c>
      <c r="B332" s="41">
        <f t="shared" si="21"/>
        <v>1</v>
      </c>
      <c r="C332" s="41" t="str">
        <f t="shared" si="22"/>
        <v/>
      </c>
      <c r="D332" s="41">
        <f t="shared" si="23"/>
        <v>1</v>
      </c>
      <c r="E332" s="62"/>
      <c r="F332" s="1"/>
      <c r="G332" s="1">
        <v>331</v>
      </c>
      <c r="H332" s="4" t="s">
        <v>864</v>
      </c>
      <c r="I332" s="4" t="str">
        <f>IF(ISERROR(VLOOKUP(H332,#REF!,9,0)),"",VLOOKUP(H332,#REF!,9,0))</f>
        <v/>
      </c>
      <c r="J332" s="42" t="s">
        <v>865</v>
      </c>
      <c r="K332" s="1" t="s">
        <v>305</v>
      </c>
      <c r="L332" s="1" t="s">
        <v>47</v>
      </c>
      <c r="M332" s="43">
        <v>2022</v>
      </c>
      <c r="N332" s="42"/>
      <c r="O332" s="43" t="s">
        <v>237</v>
      </c>
      <c r="P332" s="43"/>
      <c r="Q332" s="43"/>
      <c r="R332" s="43"/>
      <c r="S332" s="43"/>
      <c r="T332" s="43"/>
      <c r="U332" s="42"/>
    </row>
    <row r="333" spans="1:21" ht="21" customHeight="1" x14ac:dyDescent="0.3">
      <c r="A333" s="44" t="str">
        <f t="shared" si="20"/>
        <v>1</v>
      </c>
      <c r="B333" s="41" t="str">
        <f t="shared" si="21"/>
        <v/>
      </c>
      <c r="C333" s="41" t="str">
        <f t="shared" si="22"/>
        <v/>
      </c>
      <c r="D333" s="41">
        <f t="shared" si="23"/>
        <v>1</v>
      </c>
      <c r="E333" s="62"/>
      <c r="F333" s="1"/>
      <c r="G333" s="1">
        <v>332</v>
      </c>
      <c r="H333" s="4"/>
      <c r="I333" s="4" t="str">
        <f>IF(ISERROR(VLOOKUP(H333,#REF!,9,0)),"",VLOOKUP(H333,#REF!,9,0))</f>
        <v/>
      </c>
      <c r="J333" s="42" t="s">
        <v>866</v>
      </c>
      <c r="K333" s="1" t="s">
        <v>305</v>
      </c>
      <c r="L333" s="1"/>
      <c r="M333" s="43">
        <v>2022</v>
      </c>
      <c r="N333" s="42"/>
      <c r="O333" s="43" t="s">
        <v>237</v>
      </c>
      <c r="P333" s="43"/>
      <c r="Q333" s="43"/>
      <c r="R333" s="43"/>
      <c r="S333" s="43"/>
      <c r="T333" s="43"/>
      <c r="U333" s="42"/>
    </row>
    <row r="334" spans="1:21" ht="21" customHeight="1" x14ac:dyDescent="0.3">
      <c r="A334" s="44" t="str">
        <f t="shared" si="20"/>
        <v>11</v>
      </c>
      <c r="B334" s="41">
        <f t="shared" si="21"/>
        <v>1</v>
      </c>
      <c r="C334" s="41" t="str">
        <f t="shared" si="22"/>
        <v/>
      </c>
      <c r="D334" s="41">
        <f t="shared" si="23"/>
        <v>1</v>
      </c>
      <c r="E334" s="62"/>
      <c r="F334" s="1"/>
      <c r="G334" s="1">
        <v>333</v>
      </c>
      <c r="H334" s="4" t="s">
        <v>867</v>
      </c>
      <c r="I334" s="4" t="str">
        <f>IF(ISERROR(VLOOKUP(H334,#REF!,9,0)),"",VLOOKUP(H334,#REF!,9,0))</f>
        <v/>
      </c>
      <c r="J334" s="42" t="s">
        <v>868</v>
      </c>
      <c r="K334" s="1" t="s">
        <v>305</v>
      </c>
      <c r="L334" s="1" t="s">
        <v>47</v>
      </c>
      <c r="M334" s="43">
        <v>2022</v>
      </c>
      <c r="N334" s="42"/>
      <c r="O334" s="43" t="s">
        <v>237</v>
      </c>
      <c r="P334" s="43"/>
      <c r="Q334" s="43"/>
      <c r="R334" s="43"/>
      <c r="S334" s="43"/>
      <c r="T334" s="43"/>
      <c r="U334" s="42"/>
    </row>
    <row r="335" spans="1:21" ht="21" customHeight="1" x14ac:dyDescent="0.3">
      <c r="A335" s="44" t="str">
        <f t="shared" si="20"/>
        <v>1</v>
      </c>
      <c r="B335" s="41">
        <f t="shared" si="21"/>
        <v>1</v>
      </c>
      <c r="C335" s="41" t="str">
        <f t="shared" si="22"/>
        <v/>
      </c>
      <c r="D335" s="41" t="str">
        <f t="shared" si="23"/>
        <v/>
      </c>
      <c r="E335" s="62"/>
      <c r="F335" s="1"/>
      <c r="G335" s="1">
        <v>334</v>
      </c>
      <c r="H335" s="4" t="s">
        <v>311</v>
      </c>
      <c r="I335" s="4" t="str">
        <f>IF(ISERROR(VLOOKUP(H335,#REF!,9,0)),"",VLOOKUP(H335,#REF!,9,0))</f>
        <v/>
      </c>
      <c r="J335" s="42"/>
      <c r="K335" s="1" t="s">
        <v>305</v>
      </c>
      <c r="L335" s="1" t="s">
        <v>522</v>
      </c>
      <c r="M335" s="43">
        <v>2022</v>
      </c>
      <c r="N335" s="42"/>
      <c r="O335" s="43" t="s">
        <v>237</v>
      </c>
      <c r="P335" s="43"/>
      <c r="Q335" s="43"/>
      <c r="R335" s="43"/>
      <c r="S335" s="43"/>
      <c r="T335" s="43"/>
      <c r="U335" s="42"/>
    </row>
    <row r="336" spans="1:21" ht="21" customHeight="1" x14ac:dyDescent="0.3">
      <c r="A336" s="44" t="str">
        <f t="shared" si="20"/>
        <v>1</v>
      </c>
      <c r="B336" s="41">
        <f t="shared" si="21"/>
        <v>1</v>
      </c>
      <c r="C336" s="41" t="str">
        <f t="shared" si="22"/>
        <v/>
      </c>
      <c r="D336" s="41" t="str">
        <f t="shared" si="23"/>
        <v/>
      </c>
      <c r="E336" s="62"/>
      <c r="F336" s="1"/>
      <c r="G336" s="1">
        <v>335</v>
      </c>
      <c r="H336" s="4" t="s">
        <v>314</v>
      </c>
      <c r="I336" s="4" t="str">
        <f>IF(ISERROR(VLOOKUP(H336,#REF!,9,0)),"",VLOOKUP(H336,#REF!,9,0))</f>
        <v/>
      </c>
      <c r="J336" s="42"/>
      <c r="K336" s="1" t="s">
        <v>305</v>
      </c>
      <c r="L336" s="1" t="s">
        <v>522</v>
      </c>
      <c r="M336" s="43">
        <v>2022</v>
      </c>
      <c r="N336" s="42"/>
      <c r="O336" s="43" t="s">
        <v>237</v>
      </c>
      <c r="P336" s="43"/>
      <c r="Q336" s="43"/>
      <c r="R336" s="43"/>
      <c r="S336" s="43"/>
      <c r="T336" s="43"/>
      <c r="U336" s="42"/>
    </row>
    <row r="337" spans="1:21" ht="21" customHeight="1" x14ac:dyDescent="0.3">
      <c r="A337" s="44" t="str">
        <f t="shared" si="20"/>
        <v>1</v>
      </c>
      <c r="B337" s="41">
        <f t="shared" si="21"/>
        <v>1</v>
      </c>
      <c r="C337" s="41" t="str">
        <f t="shared" si="22"/>
        <v/>
      </c>
      <c r="D337" s="41" t="str">
        <f t="shared" si="23"/>
        <v/>
      </c>
      <c r="E337" s="62"/>
      <c r="F337" s="1"/>
      <c r="G337" s="1">
        <v>336</v>
      </c>
      <c r="H337" s="4" t="s">
        <v>316</v>
      </c>
      <c r="I337" s="4" t="str">
        <f>IF(ISERROR(VLOOKUP(H337,#REF!,9,0)),"",VLOOKUP(H337,#REF!,9,0))</f>
        <v/>
      </c>
      <c r="J337" s="42"/>
      <c r="K337" s="1" t="s">
        <v>305</v>
      </c>
      <c r="L337" s="1" t="s">
        <v>522</v>
      </c>
      <c r="M337" s="43">
        <v>2022</v>
      </c>
      <c r="N337" s="42"/>
      <c r="O337" s="43" t="s">
        <v>237</v>
      </c>
      <c r="P337" s="43"/>
      <c r="Q337" s="43"/>
      <c r="R337" s="43"/>
      <c r="S337" s="43"/>
      <c r="T337" s="43"/>
      <c r="U337" s="42"/>
    </row>
    <row r="338" spans="1:21" ht="21" customHeight="1" x14ac:dyDescent="0.3">
      <c r="A338" s="44" t="str">
        <f t="shared" si="20"/>
        <v>11</v>
      </c>
      <c r="B338" s="41">
        <f t="shared" si="21"/>
        <v>1</v>
      </c>
      <c r="C338" s="41" t="str">
        <f t="shared" si="22"/>
        <v/>
      </c>
      <c r="D338" s="41">
        <f t="shared" si="23"/>
        <v>1</v>
      </c>
      <c r="E338" s="62"/>
      <c r="F338" s="1"/>
      <c r="G338" s="1">
        <v>337</v>
      </c>
      <c r="H338" s="4" t="s">
        <v>869</v>
      </c>
      <c r="I338" s="4" t="str">
        <f>IF(ISERROR(VLOOKUP(H338,#REF!,9,0)),"",VLOOKUP(H338,#REF!,9,0))</f>
        <v/>
      </c>
      <c r="J338" s="42" t="s">
        <v>870</v>
      </c>
      <c r="K338" s="1" t="s">
        <v>305</v>
      </c>
      <c r="L338" s="1" t="s">
        <v>47</v>
      </c>
      <c r="M338" s="43">
        <v>2022</v>
      </c>
      <c r="N338" s="42"/>
      <c r="O338" s="43" t="s">
        <v>237</v>
      </c>
      <c r="P338" s="43"/>
      <c r="Q338" s="43"/>
      <c r="R338" s="43"/>
      <c r="S338" s="43"/>
      <c r="T338" s="43"/>
      <c r="U338" s="42"/>
    </row>
    <row r="339" spans="1:21" ht="21" customHeight="1" x14ac:dyDescent="0.3">
      <c r="A339" s="44" t="str">
        <f t="shared" si="20"/>
        <v>1</v>
      </c>
      <c r="B339" s="41">
        <f t="shared" si="21"/>
        <v>1</v>
      </c>
      <c r="C339" s="41" t="str">
        <f t="shared" si="22"/>
        <v/>
      </c>
      <c r="D339" s="41" t="str">
        <f t="shared" si="23"/>
        <v/>
      </c>
      <c r="E339" s="62"/>
      <c r="F339" s="1"/>
      <c r="G339" s="1">
        <v>338</v>
      </c>
      <c r="H339" s="4" t="s">
        <v>318</v>
      </c>
      <c r="I339" s="4" t="str">
        <f>IF(ISERROR(VLOOKUP(H339,#REF!,9,0)),"",VLOOKUP(H339,#REF!,9,0))</f>
        <v/>
      </c>
      <c r="J339" s="42"/>
      <c r="K339" s="1" t="s">
        <v>305</v>
      </c>
      <c r="L339" s="1" t="s">
        <v>522</v>
      </c>
      <c r="M339" s="43">
        <v>2022</v>
      </c>
      <c r="N339" s="42"/>
      <c r="O339" s="43" t="s">
        <v>237</v>
      </c>
      <c r="P339" s="43"/>
      <c r="Q339" s="43"/>
      <c r="R339" s="43"/>
      <c r="S339" s="43"/>
      <c r="T339" s="43"/>
      <c r="U339" s="42"/>
    </row>
    <row r="340" spans="1:21" ht="21" customHeight="1" x14ac:dyDescent="0.3">
      <c r="A340" s="44" t="str">
        <f t="shared" si="20"/>
        <v>11</v>
      </c>
      <c r="B340" s="41">
        <f t="shared" si="21"/>
        <v>1</v>
      </c>
      <c r="C340" s="41" t="str">
        <f t="shared" si="22"/>
        <v/>
      </c>
      <c r="D340" s="41">
        <f t="shared" si="23"/>
        <v>1</v>
      </c>
      <c r="E340" s="62"/>
      <c r="F340" s="1"/>
      <c r="G340" s="1">
        <v>339</v>
      </c>
      <c r="H340" s="4" t="s">
        <v>871</v>
      </c>
      <c r="I340" s="4" t="str">
        <f>IF(ISERROR(VLOOKUP(H340,#REF!,9,0)),"",VLOOKUP(H340,#REF!,9,0))</f>
        <v/>
      </c>
      <c r="J340" s="42" t="s">
        <v>872</v>
      </c>
      <c r="K340" s="1" t="s">
        <v>248</v>
      </c>
      <c r="L340" s="1" t="s">
        <v>47</v>
      </c>
      <c r="M340" s="43">
        <v>2022</v>
      </c>
      <c r="N340" s="42"/>
      <c r="O340" s="43" t="s">
        <v>237</v>
      </c>
      <c r="P340" s="43"/>
      <c r="Q340" s="43"/>
      <c r="R340" s="43"/>
      <c r="S340" s="43"/>
      <c r="T340" s="43"/>
      <c r="U340" s="42"/>
    </row>
    <row r="341" spans="1:21" ht="21" customHeight="1" x14ac:dyDescent="0.3">
      <c r="A341" s="44" t="str">
        <f t="shared" si="20"/>
        <v>11</v>
      </c>
      <c r="B341" s="41">
        <f t="shared" si="21"/>
        <v>1</v>
      </c>
      <c r="C341" s="41" t="str">
        <f t="shared" si="22"/>
        <v/>
      </c>
      <c r="D341" s="41">
        <f t="shared" si="23"/>
        <v>1</v>
      </c>
      <c r="E341" s="62"/>
      <c r="F341" s="1"/>
      <c r="G341" s="1">
        <v>340</v>
      </c>
      <c r="H341" s="4" t="s">
        <v>873</v>
      </c>
      <c r="I341" s="4" t="str">
        <f>IF(ISERROR(VLOOKUP(H341,#REF!,9,0)),"",VLOOKUP(H341,#REF!,9,0))</f>
        <v/>
      </c>
      <c r="J341" s="42" t="s">
        <v>874</v>
      </c>
      <c r="K341" s="1" t="s">
        <v>305</v>
      </c>
      <c r="L341" s="1" t="s">
        <v>47</v>
      </c>
      <c r="M341" s="43">
        <v>2022</v>
      </c>
      <c r="N341" s="42"/>
      <c r="O341" s="43" t="s">
        <v>237</v>
      </c>
      <c r="P341" s="43"/>
      <c r="Q341" s="43"/>
      <c r="R341" s="43"/>
      <c r="S341" s="43"/>
      <c r="T341" s="43"/>
      <c r="U341" s="42"/>
    </row>
    <row r="342" spans="1:21" ht="21" customHeight="1" x14ac:dyDescent="0.3">
      <c r="A342" s="44" t="str">
        <f t="shared" si="20"/>
        <v>1</v>
      </c>
      <c r="B342" s="41" t="str">
        <f t="shared" si="21"/>
        <v/>
      </c>
      <c r="C342" s="41" t="str">
        <f t="shared" si="22"/>
        <v/>
      </c>
      <c r="D342" s="41">
        <f t="shared" si="23"/>
        <v>1</v>
      </c>
      <c r="E342" s="62"/>
      <c r="F342" s="1"/>
      <c r="G342" s="1">
        <v>341</v>
      </c>
      <c r="H342" s="4"/>
      <c r="I342" s="4" t="str">
        <f>IF(ISERROR(VLOOKUP(H342,#REF!,9,0)),"",VLOOKUP(H342,#REF!,9,0))</f>
        <v/>
      </c>
      <c r="J342" s="42" t="s">
        <v>875</v>
      </c>
      <c r="K342" s="1" t="s">
        <v>305</v>
      </c>
      <c r="L342" s="1" t="s">
        <v>47</v>
      </c>
      <c r="M342" s="43">
        <v>2022</v>
      </c>
      <c r="N342" s="42"/>
      <c r="O342" s="43" t="s">
        <v>237</v>
      </c>
      <c r="P342" s="43"/>
      <c r="Q342" s="43"/>
      <c r="R342" s="43"/>
      <c r="S342" s="43"/>
      <c r="T342" s="43"/>
      <c r="U342" s="42"/>
    </row>
    <row r="343" spans="1:21" ht="21" customHeight="1" x14ac:dyDescent="0.3">
      <c r="A343" s="44" t="str">
        <f t="shared" si="20"/>
        <v>11</v>
      </c>
      <c r="B343" s="41">
        <f t="shared" si="21"/>
        <v>1</v>
      </c>
      <c r="C343" s="41" t="str">
        <f t="shared" si="22"/>
        <v/>
      </c>
      <c r="D343" s="41">
        <f t="shared" si="23"/>
        <v>1</v>
      </c>
      <c r="E343" s="62"/>
      <c r="F343" s="1"/>
      <c r="G343" s="1">
        <v>342</v>
      </c>
      <c r="H343" s="4" t="s">
        <v>876</v>
      </c>
      <c r="I343" s="4" t="str">
        <f>IF(ISERROR(VLOOKUP(H343,#REF!,9,0)),"",VLOOKUP(H343,#REF!,9,0))</f>
        <v/>
      </c>
      <c r="J343" s="42" t="s">
        <v>874</v>
      </c>
      <c r="K343" s="1" t="s">
        <v>305</v>
      </c>
      <c r="L343" s="1" t="s">
        <v>47</v>
      </c>
      <c r="M343" s="43">
        <v>2022</v>
      </c>
      <c r="N343" s="42"/>
      <c r="O343" s="43" t="s">
        <v>237</v>
      </c>
      <c r="P343" s="43"/>
      <c r="Q343" s="43"/>
      <c r="R343" s="43"/>
      <c r="S343" s="43"/>
      <c r="T343" s="43"/>
      <c r="U343" s="42"/>
    </row>
    <row r="344" spans="1:21" ht="21" customHeight="1" x14ac:dyDescent="0.3">
      <c r="A344" s="44" t="str">
        <f t="shared" si="20"/>
        <v>11</v>
      </c>
      <c r="B344" s="41">
        <f t="shared" si="21"/>
        <v>1</v>
      </c>
      <c r="C344" s="41" t="str">
        <f t="shared" si="22"/>
        <v/>
      </c>
      <c r="D344" s="41">
        <f t="shared" si="23"/>
        <v>1</v>
      </c>
      <c r="E344" s="62"/>
      <c r="F344" s="1"/>
      <c r="G344" s="1">
        <v>343</v>
      </c>
      <c r="H344" s="4" t="s">
        <v>877</v>
      </c>
      <c r="I344" s="4" t="str">
        <f>IF(ISERROR(VLOOKUP(H344,#REF!,9,0)),"",VLOOKUP(H344,#REF!,9,0))</f>
        <v/>
      </c>
      <c r="J344" s="42" t="s">
        <v>878</v>
      </c>
      <c r="K344" s="1" t="s">
        <v>305</v>
      </c>
      <c r="L344" s="1" t="s">
        <v>47</v>
      </c>
      <c r="M344" s="43">
        <v>2022</v>
      </c>
      <c r="N344" s="42"/>
      <c r="O344" s="43" t="s">
        <v>237</v>
      </c>
      <c r="P344" s="43"/>
      <c r="Q344" s="43"/>
      <c r="R344" s="43"/>
      <c r="S344" s="43"/>
      <c r="T344" s="43"/>
      <c r="U344" s="42"/>
    </row>
    <row r="345" spans="1:21" ht="21" customHeight="1" x14ac:dyDescent="0.3">
      <c r="A345" s="44" t="str">
        <f t="shared" si="20"/>
        <v>11</v>
      </c>
      <c r="B345" s="41">
        <f t="shared" si="21"/>
        <v>1</v>
      </c>
      <c r="C345" s="41" t="str">
        <f t="shared" si="22"/>
        <v/>
      </c>
      <c r="D345" s="41">
        <f t="shared" si="23"/>
        <v>1</v>
      </c>
      <c r="E345" s="62"/>
      <c r="F345" s="1"/>
      <c r="G345" s="1">
        <v>344</v>
      </c>
      <c r="H345" s="4" t="s">
        <v>879</v>
      </c>
      <c r="I345" s="4" t="str">
        <f>IF(ISERROR(VLOOKUP(H345,#REF!,9,0)),"",VLOOKUP(H345,#REF!,9,0))</f>
        <v/>
      </c>
      <c r="J345" s="42" t="s">
        <v>880</v>
      </c>
      <c r="K345" s="1" t="s">
        <v>305</v>
      </c>
      <c r="L345" s="1" t="s">
        <v>47</v>
      </c>
      <c r="M345" s="43">
        <v>2022</v>
      </c>
      <c r="N345" s="42"/>
      <c r="O345" s="43" t="s">
        <v>237</v>
      </c>
      <c r="P345" s="43"/>
      <c r="Q345" s="43"/>
      <c r="R345" s="43"/>
      <c r="S345" s="43"/>
      <c r="T345" s="43"/>
      <c r="U345" s="42"/>
    </row>
    <row r="346" spans="1:21" ht="21" customHeight="1" x14ac:dyDescent="0.3">
      <c r="A346" s="44" t="str">
        <f t="shared" si="20"/>
        <v>11</v>
      </c>
      <c r="B346" s="41">
        <f t="shared" si="21"/>
        <v>1</v>
      </c>
      <c r="C346" s="41" t="str">
        <f t="shared" si="22"/>
        <v/>
      </c>
      <c r="D346" s="41">
        <f t="shared" si="23"/>
        <v>1</v>
      </c>
      <c r="E346" s="62"/>
      <c r="F346" s="1"/>
      <c r="G346" s="1">
        <v>345</v>
      </c>
      <c r="H346" s="4" t="s">
        <v>881</v>
      </c>
      <c r="I346" s="4" t="str">
        <f>IF(ISERROR(VLOOKUP(H346,#REF!,9,0)),"",VLOOKUP(H346,#REF!,9,0))</f>
        <v/>
      </c>
      <c r="J346" s="42" t="s">
        <v>882</v>
      </c>
      <c r="K346" s="1" t="s">
        <v>305</v>
      </c>
      <c r="L346" s="1" t="s">
        <v>47</v>
      </c>
      <c r="M346" s="43">
        <v>2022</v>
      </c>
      <c r="N346" s="42"/>
      <c r="O346" s="43" t="s">
        <v>237</v>
      </c>
      <c r="P346" s="43"/>
      <c r="Q346" s="43"/>
      <c r="R346" s="43"/>
      <c r="S346" s="43"/>
      <c r="T346" s="43"/>
      <c r="U346" s="42"/>
    </row>
    <row r="347" spans="1:21" ht="21" customHeight="1" x14ac:dyDescent="0.3">
      <c r="A347" s="44" t="str">
        <f t="shared" si="20"/>
        <v>1</v>
      </c>
      <c r="B347" s="41" t="str">
        <f t="shared" si="21"/>
        <v/>
      </c>
      <c r="C347" s="41" t="str">
        <f t="shared" si="22"/>
        <v/>
      </c>
      <c r="D347" s="41">
        <f t="shared" si="23"/>
        <v>1</v>
      </c>
      <c r="E347" s="62"/>
      <c r="F347" s="1"/>
      <c r="G347" s="1">
        <v>346</v>
      </c>
      <c r="H347" s="4"/>
      <c r="I347" s="4" t="str">
        <f>IF(ISERROR(VLOOKUP(H347,#REF!,9,0)),"",VLOOKUP(H347,#REF!,9,0))</f>
        <v/>
      </c>
      <c r="J347" s="42" t="s">
        <v>883</v>
      </c>
      <c r="K347" s="1" t="s">
        <v>305</v>
      </c>
      <c r="L347" s="1" t="s">
        <v>47</v>
      </c>
      <c r="M347" s="43">
        <v>2022</v>
      </c>
      <c r="N347" s="42"/>
      <c r="O347" s="43" t="s">
        <v>237</v>
      </c>
      <c r="P347" s="43"/>
      <c r="Q347" s="43"/>
      <c r="R347" s="43"/>
      <c r="S347" s="43"/>
      <c r="T347" s="43"/>
      <c r="U347" s="42"/>
    </row>
    <row r="348" spans="1:21" ht="21" customHeight="1" x14ac:dyDescent="0.3">
      <c r="A348" s="44" t="str">
        <f t="shared" si="20"/>
        <v>1</v>
      </c>
      <c r="B348" s="41" t="str">
        <f t="shared" si="21"/>
        <v/>
      </c>
      <c r="C348" s="41" t="str">
        <f t="shared" si="22"/>
        <v/>
      </c>
      <c r="D348" s="41">
        <f t="shared" si="23"/>
        <v>1</v>
      </c>
      <c r="E348" s="62"/>
      <c r="F348" s="1"/>
      <c r="G348" s="1">
        <v>347</v>
      </c>
      <c r="H348" s="4"/>
      <c r="I348" s="4" t="str">
        <f>IF(ISERROR(VLOOKUP(H348,#REF!,9,0)),"",VLOOKUP(H348,#REF!,9,0))</f>
        <v/>
      </c>
      <c r="J348" s="42" t="s">
        <v>884</v>
      </c>
      <c r="K348" s="1" t="s">
        <v>305</v>
      </c>
      <c r="L348" s="1" t="s">
        <v>47</v>
      </c>
      <c r="M348" s="43">
        <v>2022</v>
      </c>
      <c r="N348" s="42"/>
      <c r="O348" s="43" t="s">
        <v>237</v>
      </c>
      <c r="P348" s="43"/>
      <c r="Q348" s="43"/>
      <c r="R348" s="43"/>
      <c r="S348" s="43"/>
      <c r="T348" s="43"/>
      <c r="U348" s="42"/>
    </row>
    <row r="349" spans="1:21" ht="21" customHeight="1" x14ac:dyDescent="0.3">
      <c r="A349" s="44" t="str">
        <f t="shared" si="20"/>
        <v>11</v>
      </c>
      <c r="B349" s="41">
        <f t="shared" si="21"/>
        <v>1</v>
      </c>
      <c r="C349" s="41" t="str">
        <f t="shared" si="22"/>
        <v/>
      </c>
      <c r="D349" s="41">
        <f t="shared" si="23"/>
        <v>1</v>
      </c>
      <c r="E349" s="62"/>
      <c r="F349" s="1"/>
      <c r="G349" s="1">
        <v>348</v>
      </c>
      <c r="H349" s="4" t="s">
        <v>885</v>
      </c>
      <c r="I349" s="4" t="str">
        <f>IF(ISERROR(VLOOKUP(H349,#REF!,9,0)),"",VLOOKUP(H349,#REF!,9,0))</f>
        <v/>
      </c>
      <c r="J349" s="42" t="s">
        <v>885</v>
      </c>
      <c r="K349" s="1" t="s">
        <v>305</v>
      </c>
      <c r="L349" s="1" t="s">
        <v>47</v>
      </c>
      <c r="M349" s="43">
        <v>2022</v>
      </c>
      <c r="N349" s="42"/>
      <c r="O349" s="43" t="s">
        <v>237</v>
      </c>
      <c r="P349" s="43"/>
      <c r="Q349" s="43"/>
      <c r="R349" s="43"/>
      <c r="S349" s="43"/>
      <c r="T349" s="43"/>
      <c r="U349" s="42"/>
    </row>
    <row r="350" spans="1:21" ht="21" customHeight="1" x14ac:dyDescent="0.3">
      <c r="A350" s="44" t="str">
        <f t="shared" si="20"/>
        <v>11</v>
      </c>
      <c r="B350" s="41">
        <f t="shared" si="21"/>
        <v>1</v>
      </c>
      <c r="C350" s="41" t="str">
        <f t="shared" si="22"/>
        <v/>
      </c>
      <c r="D350" s="41">
        <f t="shared" si="23"/>
        <v>1</v>
      </c>
      <c r="E350" s="62"/>
      <c r="F350" s="1"/>
      <c r="G350" s="1">
        <v>349</v>
      </c>
      <c r="H350" s="4" t="s">
        <v>886</v>
      </c>
      <c r="I350" s="4" t="str">
        <f>IF(ISERROR(VLOOKUP(H350,#REF!,9,0)),"",VLOOKUP(H350,#REF!,9,0))</f>
        <v/>
      </c>
      <c r="J350" s="42" t="s">
        <v>887</v>
      </c>
      <c r="K350" s="1" t="s">
        <v>305</v>
      </c>
      <c r="L350" s="1" t="s">
        <v>47</v>
      </c>
      <c r="M350" s="43">
        <v>2022</v>
      </c>
      <c r="N350" s="42"/>
      <c r="O350" s="43" t="s">
        <v>237</v>
      </c>
      <c r="P350" s="43"/>
      <c r="Q350" s="43"/>
      <c r="R350" s="43"/>
      <c r="S350" s="43"/>
      <c r="T350" s="43"/>
      <c r="U350" s="42"/>
    </row>
    <row r="351" spans="1:21" ht="21" customHeight="1" x14ac:dyDescent="0.3">
      <c r="A351" s="44" t="str">
        <f t="shared" si="20"/>
        <v>1</v>
      </c>
      <c r="B351" s="41">
        <f t="shared" si="21"/>
        <v>1</v>
      </c>
      <c r="C351" s="41" t="str">
        <f t="shared" si="22"/>
        <v/>
      </c>
      <c r="D351" s="41" t="str">
        <f t="shared" si="23"/>
        <v/>
      </c>
      <c r="E351" s="62" t="s">
        <v>319</v>
      </c>
      <c r="F351" s="1"/>
      <c r="G351" s="1">
        <v>350</v>
      </c>
      <c r="H351" s="4" t="s">
        <v>320</v>
      </c>
      <c r="I351" s="4" t="str">
        <f>IF(ISERROR(VLOOKUP(H351,#REF!,9,0)),"",VLOOKUP(H351,#REF!,9,0))</f>
        <v/>
      </c>
      <c r="J351" s="42"/>
      <c r="K351" s="1" t="s">
        <v>319</v>
      </c>
      <c r="L351" s="1" t="s">
        <v>522</v>
      </c>
      <c r="M351" s="43" t="s">
        <v>565</v>
      </c>
      <c r="N351" s="42"/>
      <c r="O351" s="43" t="s">
        <v>88</v>
      </c>
      <c r="P351" s="43"/>
      <c r="Q351" s="43"/>
      <c r="R351" s="43"/>
      <c r="S351" s="43"/>
      <c r="T351" s="43" t="s">
        <v>831</v>
      </c>
      <c r="U351" s="42"/>
    </row>
    <row r="352" spans="1:21" ht="21" customHeight="1" x14ac:dyDescent="0.3">
      <c r="A352" s="44" t="str">
        <f t="shared" si="20"/>
        <v>1</v>
      </c>
      <c r="B352" s="41">
        <f t="shared" si="21"/>
        <v>1</v>
      </c>
      <c r="C352" s="41" t="str">
        <f t="shared" si="22"/>
        <v/>
      </c>
      <c r="D352" s="41" t="str">
        <f t="shared" si="23"/>
        <v/>
      </c>
      <c r="E352" s="62"/>
      <c r="F352" s="1"/>
      <c r="G352" s="1">
        <v>351</v>
      </c>
      <c r="H352" s="4" t="s">
        <v>888</v>
      </c>
      <c r="I352" s="4" t="str">
        <f>IF(ISERROR(VLOOKUP(H352,#REF!,9,0)),"",VLOOKUP(H352,#REF!,9,0))</f>
        <v/>
      </c>
      <c r="J352" s="42"/>
      <c r="K352" s="1" t="s">
        <v>319</v>
      </c>
      <c r="L352" s="1" t="s">
        <v>47</v>
      </c>
      <c r="M352" s="43" t="s">
        <v>565</v>
      </c>
      <c r="N352" s="42" t="s">
        <v>889</v>
      </c>
      <c r="O352" s="43" t="s">
        <v>88</v>
      </c>
      <c r="P352" s="43"/>
      <c r="Q352" s="43"/>
      <c r="R352" s="43"/>
      <c r="S352" s="43"/>
      <c r="T352" s="43" t="s">
        <v>47</v>
      </c>
      <c r="U352" s="42"/>
    </row>
    <row r="353" spans="1:21" ht="21" customHeight="1" x14ac:dyDescent="0.3">
      <c r="A353" s="44" t="str">
        <f t="shared" si="20"/>
        <v>1</v>
      </c>
      <c r="B353" s="41">
        <f t="shared" si="21"/>
        <v>1</v>
      </c>
      <c r="C353" s="41" t="str">
        <f t="shared" si="22"/>
        <v/>
      </c>
      <c r="D353" s="41" t="str">
        <f t="shared" si="23"/>
        <v/>
      </c>
      <c r="E353" s="62" t="s">
        <v>321</v>
      </c>
      <c r="F353" s="1" t="s">
        <v>322</v>
      </c>
      <c r="G353" s="1">
        <v>352</v>
      </c>
      <c r="H353" s="4" t="s">
        <v>323</v>
      </c>
      <c r="I353" s="4" t="str">
        <f>IF(ISERROR(VLOOKUP(H353,#REF!,9,0)),"",VLOOKUP(H353,#REF!,9,0))</f>
        <v/>
      </c>
      <c r="J353" s="42"/>
      <c r="K353" s="1" t="s">
        <v>321</v>
      </c>
      <c r="L353" s="1" t="s">
        <v>521</v>
      </c>
      <c r="M353" s="43"/>
      <c r="N353" s="42"/>
      <c r="O353" s="43"/>
      <c r="P353" s="43"/>
      <c r="Q353" s="43"/>
      <c r="R353" s="43"/>
      <c r="S353" s="43"/>
      <c r="T353" s="43"/>
      <c r="U353" s="42"/>
    </row>
    <row r="354" spans="1:21" ht="21" customHeight="1" x14ac:dyDescent="0.3">
      <c r="A354" s="44" t="str">
        <f t="shared" si="20"/>
        <v>1</v>
      </c>
      <c r="B354" s="41">
        <f t="shared" si="21"/>
        <v>1</v>
      </c>
      <c r="C354" s="41" t="str">
        <f t="shared" si="22"/>
        <v/>
      </c>
      <c r="D354" s="41" t="str">
        <f t="shared" si="23"/>
        <v/>
      </c>
      <c r="E354" s="62"/>
      <c r="F354" s="1" t="s">
        <v>322</v>
      </c>
      <c r="G354" s="1">
        <v>353</v>
      </c>
      <c r="H354" s="4" t="s">
        <v>324</v>
      </c>
      <c r="I354" s="4" t="str">
        <f>IF(ISERROR(VLOOKUP(H354,#REF!,9,0)),"",VLOOKUP(H354,#REF!,9,0))</f>
        <v/>
      </c>
      <c r="J354" s="42"/>
      <c r="K354" s="1" t="s">
        <v>321</v>
      </c>
      <c r="L354" s="1" t="s">
        <v>521</v>
      </c>
      <c r="M354" s="43"/>
      <c r="N354" s="42"/>
      <c r="O354" s="43"/>
      <c r="P354" s="43"/>
      <c r="Q354" s="43"/>
      <c r="R354" s="43"/>
      <c r="S354" s="43"/>
      <c r="T354" s="43"/>
      <c r="U354" s="42"/>
    </row>
    <row r="355" spans="1:21" ht="21" customHeight="1" x14ac:dyDescent="0.3">
      <c r="A355" s="44" t="str">
        <f t="shared" si="20"/>
        <v>1</v>
      </c>
      <c r="B355" s="41">
        <f t="shared" si="21"/>
        <v>1</v>
      </c>
      <c r="C355" s="41" t="str">
        <f t="shared" si="22"/>
        <v/>
      </c>
      <c r="D355" s="41" t="str">
        <f t="shared" si="23"/>
        <v/>
      </c>
      <c r="E355" s="62"/>
      <c r="F355" s="1" t="s">
        <v>322</v>
      </c>
      <c r="G355" s="1">
        <v>354</v>
      </c>
      <c r="H355" s="4" t="s">
        <v>325</v>
      </c>
      <c r="I355" s="4" t="str">
        <f>IF(ISERROR(VLOOKUP(H355,#REF!,9,0)),"",VLOOKUP(H355,#REF!,9,0))</f>
        <v/>
      </c>
      <c r="J355" s="42"/>
      <c r="K355" s="1" t="s">
        <v>321</v>
      </c>
      <c r="L355" s="1" t="s">
        <v>521</v>
      </c>
      <c r="M355" s="43"/>
      <c r="N355" s="42"/>
      <c r="O355" s="43"/>
      <c r="P355" s="43"/>
      <c r="Q355" s="43"/>
      <c r="R355" s="43"/>
      <c r="S355" s="43"/>
      <c r="T355" s="43"/>
      <c r="U355" s="42"/>
    </row>
    <row r="356" spans="1:21" ht="21" customHeight="1" x14ac:dyDescent="0.3">
      <c r="A356" s="44" t="str">
        <f t="shared" si="20"/>
        <v>1</v>
      </c>
      <c r="B356" s="41">
        <f t="shared" si="21"/>
        <v>1</v>
      </c>
      <c r="C356" s="41" t="str">
        <f t="shared" si="22"/>
        <v/>
      </c>
      <c r="D356" s="41" t="str">
        <f t="shared" si="23"/>
        <v/>
      </c>
      <c r="E356" s="62"/>
      <c r="F356" s="1" t="s">
        <v>322</v>
      </c>
      <c r="G356" s="1">
        <v>355</v>
      </c>
      <c r="H356" s="4" t="s">
        <v>326</v>
      </c>
      <c r="I356" s="4" t="str">
        <f>IF(ISERROR(VLOOKUP(H356,#REF!,9,0)),"",VLOOKUP(H356,#REF!,9,0))</f>
        <v/>
      </c>
      <c r="J356" s="42"/>
      <c r="K356" s="1" t="s">
        <v>321</v>
      </c>
      <c r="L356" s="1" t="s">
        <v>521</v>
      </c>
      <c r="M356" s="43"/>
      <c r="N356" s="42"/>
      <c r="O356" s="43"/>
      <c r="P356" s="43"/>
      <c r="Q356" s="43"/>
      <c r="R356" s="43"/>
      <c r="S356" s="43"/>
      <c r="T356" s="43"/>
      <c r="U356" s="42"/>
    </row>
    <row r="357" spans="1:21" ht="21" customHeight="1" x14ac:dyDescent="0.3">
      <c r="A357" s="44" t="str">
        <f t="shared" si="20"/>
        <v>1</v>
      </c>
      <c r="B357" s="41">
        <f t="shared" si="21"/>
        <v>1</v>
      </c>
      <c r="C357" s="41" t="str">
        <f t="shared" si="22"/>
        <v/>
      </c>
      <c r="D357" s="41" t="str">
        <f t="shared" si="23"/>
        <v/>
      </c>
      <c r="E357" s="62"/>
      <c r="F357" s="1" t="s">
        <v>327</v>
      </c>
      <c r="G357" s="1">
        <v>356</v>
      </c>
      <c r="H357" s="4" t="s">
        <v>328</v>
      </c>
      <c r="I357" s="4" t="str">
        <f>IF(ISERROR(VLOOKUP(H357,#REF!,9,0)),"",VLOOKUP(H357,#REF!,9,0))</f>
        <v/>
      </c>
      <c r="J357" s="42"/>
      <c r="K357" s="1" t="s">
        <v>321</v>
      </c>
      <c r="L357" s="1" t="s">
        <v>521</v>
      </c>
      <c r="M357" s="43"/>
      <c r="N357" s="42"/>
      <c r="O357" s="43"/>
      <c r="P357" s="43"/>
      <c r="Q357" s="43"/>
      <c r="R357" s="43"/>
      <c r="S357" s="43"/>
      <c r="T357" s="43"/>
      <c r="U357" s="42"/>
    </row>
    <row r="358" spans="1:21" ht="21" customHeight="1" x14ac:dyDescent="0.3">
      <c r="A358" s="44" t="str">
        <f t="shared" si="20"/>
        <v>1</v>
      </c>
      <c r="B358" s="41">
        <f t="shared" si="21"/>
        <v>1</v>
      </c>
      <c r="C358" s="41" t="str">
        <f t="shared" si="22"/>
        <v/>
      </c>
      <c r="D358" s="41" t="str">
        <f t="shared" si="23"/>
        <v/>
      </c>
      <c r="E358" s="62"/>
      <c r="F358" s="1" t="s">
        <v>322</v>
      </c>
      <c r="G358" s="1">
        <v>357</v>
      </c>
      <c r="H358" s="4" t="s">
        <v>329</v>
      </c>
      <c r="I358" s="4" t="str">
        <f>IF(ISERROR(VLOOKUP(H358,#REF!,9,0)),"",VLOOKUP(H358,#REF!,9,0))</f>
        <v/>
      </c>
      <c r="J358" s="42"/>
      <c r="K358" s="1" t="s">
        <v>321</v>
      </c>
      <c r="L358" s="1" t="s">
        <v>521</v>
      </c>
      <c r="M358" s="43"/>
      <c r="N358" s="42"/>
      <c r="O358" s="43"/>
      <c r="P358" s="43"/>
      <c r="Q358" s="43"/>
      <c r="R358" s="43"/>
      <c r="S358" s="43"/>
      <c r="T358" s="43"/>
      <c r="U358" s="42"/>
    </row>
    <row r="359" spans="1:21" ht="21" customHeight="1" x14ac:dyDescent="0.3">
      <c r="A359" s="44" t="str">
        <f t="shared" si="20"/>
        <v>1</v>
      </c>
      <c r="B359" s="41">
        <f t="shared" si="21"/>
        <v>1</v>
      </c>
      <c r="C359" s="41" t="str">
        <f t="shared" si="22"/>
        <v/>
      </c>
      <c r="D359" s="41" t="str">
        <f t="shared" si="23"/>
        <v/>
      </c>
      <c r="E359" s="62"/>
      <c r="F359" s="1" t="s">
        <v>322</v>
      </c>
      <c r="G359" s="1">
        <v>358</v>
      </c>
      <c r="H359" s="4" t="s">
        <v>330</v>
      </c>
      <c r="I359" s="4" t="str">
        <f>IF(ISERROR(VLOOKUP(H359,#REF!,9,0)),"",VLOOKUP(H359,#REF!,9,0))</f>
        <v/>
      </c>
      <c r="J359" s="42"/>
      <c r="K359" s="1" t="s">
        <v>321</v>
      </c>
      <c r="L359" s="1" t="s">
        <v>521</v>
      </c>
      <c r="M359" s="43"/>
      <c r="N359" s="42"/>
      <c r="O359" s="43"/>
      <c r="P359" s="43"/>
      <c r="Q359" s="43"/>
      <c r="R359" s="43"/>
      <c r="S359" s="43"/>
      <c r="T359" s="43"/>
      <c r="U359" s="42"/>
    </row>
    <row r="360" spans="1:21" ht="21" customHeight="1" x14ac:dyDescent="0.3">
      <c r="A360" s="44" t="str">
        <f t="shared" si="20"/>
        <v>1</v>
      </c>
      <c r="B360" s="41">
        <f t="shared" si="21"/>
        <v>1</v>
      </c>
      <c r="C360" s="41" t="str">
        <f t="shared" si="22"/>
        <v/>
      </c>
      <c r="D360" s="41" t="str">
        <f t="shared" si="23"/>
        <v/>
      </c>
      <c r="E360" s="62"/>
      <c r="F360" s="1" t="s">
        <v>331</v>
      </c>
      <c r="G360" s="1">
        <v>359</v>
      </c>
      <c r="H360" s="4" t="s">
        <v>332</v>
      </c>
      <c r="I360" s="4" t="str">
        <f>IF(ISERROR(VLOOKUP(H360,#REF!,9,0)),"",VLOOKUP(H360,#REF!,9,0))</f>
        <v/>
      </c>
      <c r="J360" s="42"/>
      <c r="K360" s="1" t="s">
        <v>321</v>
      </c>
      <c r="L360" s="1" t="s">
        <v>521</v>
      </c>
      <c r="M360" s="43"/>
      <c r="N360" s="42"/>
      <c r="O360" s="43"/>
      <c r="P360" s="43"/>
      <c r="Q360" s="43"/>
      <c r="R360" s="43"/>
      <c r="S360" s="43"/>
      <c r="T360" s="43"/>
      <c r="U360" s="42"/>
    </row>
    <row r="361" spans="1:21" ht="21" customHeight="1" x14ac:dyDescent="0.3">
      <c r="A361" s="44" t="str">
        <f t="shared" si="20"/>
        <v>1</v>
      </c>
      <c r="B361" s="41">
        <f t="shared" si="21"/>
        <v>1</v>
      </c>
      <c r="C361" s="41" t="str">
        <f t="shared" si="22"/>
        <v/>
      </c>
      <c r="D361" s="41" t="str">
        <f t="shared" si="23"/>
        <v/>
      </c>
      <c r="E361" s="62"/>
      <c r="F361" s="1" t="s">
        <v>327</v>
      </c>
      <c r="G361" s="1">
        <v>360</v>
      </c>
      <c r="H361" s="4" t="s">
        <v>333</v>
      </c>
      <c r="I361" s="4" t="str">
        <f>IF(ISERROR(VLOOKUP(H361,#REF!,9,0)),"",VLOOKUP(H361,#REF!,9,0))</f>
        <v/>
      </c>
      <c r="J361" s="42"/>
      <c r="K361" s="1" t="s">
        <v>321</v>
      </c>
      <c r="L361" s="1" t="s">
        <v>521</v>
      </c>
      <c r="M361" s="43"/>
      <c r="N361" s="42"/>
      <c r="O361" s="43"/>
      <c r="P361" s="43"/>
      <c r="Q361" s="43"/>
      <c r="R361" s="43"/>
      <c r="S361" s="43"/>
      <c r="T361" s="43"/>
      <c r="U361" s="42"/>
    </row>
    <row r="362" spans="1:21" ht="21" customHeight="1" x14ac:dyDescent="0.3">
      <c r="A362" s="44" t="str">
        <f t="shared" si="20"/>
        <v>1</v>
      </c>
      <c r="B362" s="41">
        <f t="shared" si="21"/>
        <v>1</v>
      </c>
      <c r="C362" s="41" t="str">
        <f t="shared" si="22"/>
        <v/>
      </c>
      <c r="D362" s="41" t="str">
        <f t="shared" si="23"/>
        <v/>
      </c>
      <c r="E362" s="62"/>
      <c r="F362" s="1" t="s">
        <v>327</v>
      </c>
      <c r="G362" s="1">
        <v>361</v>
      </c>
      <c r="H362" s="4" t="s">
        <v>333</v>
      </c>
      <c r="I362" s="4" t="str">
        <f>IF(ISERROR(VLOOKUP(H362,#REF!,9,0)),"",VLOOKUP(H362,#REF!,9,0))</f>
        <v/>
      </c>
      <c r="J362" s="42"/>
      <c r="K362" s="1" t="s">
        <v>321</v>
      </c>
      <c r="L362" s="1" t="s">
        <v>521</v>
      </c>
      <c r="M362" s="43"/>
      <c r="N362" s="42"/>
      <c r="O362" s="43"/>
      <c r="P362" s="43"/>
      <c r="Q362" s="43"/>
      <c r="R362" s="43"/>
      <c r="S362" s="43"/>
      <c r="T362" s="43"/>
      <c r="U362" s="42"/>
    </row>
    <row r="363" spans="1:21" ht="21" customHeight="1" x14ac:dyDescent="0.3">
      <c r="A363" s="44" t="str">
        <f t="shared" si="20"/>
        <v>1</v>
      </c>
      <c r="B363" s="41">
        <f t="shared" si="21"/>
        <v>1</v>
      </c>
      <c r="C363" s="41" t="str">
        <f t="shared" si="22"/>
        <v/>
      </c>
      <c r="D363" s="41" t="str">
        <f t="shared" si="23"/>
        <v/>
      </c>
      <c r="E363" s="62"/>
      <c r="F363" s="1" t="s">
        <v>327</v>
      </c>
      <c r="G363" s="1">
        <v>362</v>
      </c>
      <c r="H363" s="4" t="s">
        <v>333</v>
      </c>
      <c r="I363" s="4" t="str">
        <f>IF(ISERROR(VLOOKUP(H363,#REF!,9,0)),"",VLOOKUP(H363,#REF!,9,0))</f>
        <v/>
      </c>
      <c r="J363" s="42"/>
      <c r="K363" s="1" t="s">
        <v>321</v>
      </c>
      <c r="L363" s="1" t="s">
        <v>521</v>
      </c>
      <c r="M363" s="43"/>
      <c r="N363" s="42"/>
      <c r="O363" s="43"/>
      <c r="P363" s="43"/>
      <c r="Q363" s="43"/>
      <c r="R363" s="43"/>
      <c r="S363" s="43"/>
      <c r="T363" s="43"/>
      <c r="U363" s="42"/>
    </row>
    <row r="364" spans="1:21" ht="21" customHeight="1" x14ac:dyDescent="0.3">
      <c r="A364" s="44" t="str">
        <f t="shared" si="20"/>
        <v>1</v>
      </c>
      <c r="B364" s="41">
        <f t="shared" si="21"/>
        <v>1</v>
      </c>
      <c r="C364" s="41" t="str">
        <f t="shared" si="22"/>
        <v/>
      </c>
      <c r="D364" s="41" t="str">
        <f t="shared" si="23"/>
        <v/>
      </c>
      <c r="E364" s="62"/>
      <c r="F364" s="1" t="s">
        <v>327</v>
      </c>
      <c r="G364" s="1">
        <v>363</v>
      </c>
      <c r="H364" s="4" t="s">
        <v>334</v>
      </c>
      <c r="I364" s="4" t="str">
        <f>IF(ISERROR(VLOOKUP(H364,#REF!,9,0)),"",VLOOKUP(H364,#REF!,9,0))</f>
        <v/>
      </c>
      <c r="J364" s="42"/>
      <c r="K364" s="1" t="s">
        <v>321</v>
      </c>
      <c r="L364" s="1" t="s">
        <v>521</v>
      </c>
      <c r="M364" s="43"/>
      <c r="N364" s="42"/>
      <c r="O364" s="43"/>
      <c r="P364" s="43"/>
      <c r="Q364" s="43"/>
      <c r="R364" s="43"/>
      <c r="S364" s="43"/>
      <c r="T364" s="43"/>
      <c r="U364" s="42"/>
    </row>
    <row r="365" spans="1:21" ht="21" customHeight="1" x14ac:dyDescent="0.3">
      <c r="A365" s="44" t="str">
        <f t="shared" si="20"/>
        <v>1</v>
      </c>
      <c r="B365" s="41">
        <f t="shared" si="21"/>
        <v>1</v>
      </c>
      <c r="C365" s="41" t="str">
        <f t="shared" si="22"/>
        <v/>
      </c>
      <c r="D365" s="41" t="str">
        <f t="shared" si="23"/>
        <v/>
      </c>
      <c r="E365" s="62"/>
      <c r="F365" s="1" t="s">
        <v>327</v>
      </c>
      <c r="G365" s="1">
        <v>364</v>
      </c>
      <c r="H365" s="4" t="s">
        <v>334</v>
      </c>
      <c r="I365" s="4" t="str">
        <f>IF(ISERROR(VLOOKUP(H365,#REF!,9,0)),"",VLOOKUP(H365,#REF!,9,0))</f>
        <v/>
      </c>
      <c r="J365" s="42"/>
      <c r="K365" s="1" t="s">
        <v>321</v>
      </c>
      <c r="L365" s="1" t="s">
        <v>521</v>
      </c>
      <c r="M365" s="43"/>
      <c r="N365" s="42"/>
      <c r="O365" s="43"/>
      <c r="P365" s="43"/>
      <c r="Q365" s="43"/>
      <c r="R365" s="43"/>
      <c r="S365" s="43"/>
      <c r="T365" s="43"/>
      <c r="U365" s="42"/>
    </row>
    <row r="366" spans="1:21" ht="21" customHeight="1" x14ac:dyDescent="0.3">
      <c r="A366" s="44" t="str">
        <f t="shared" si="20"/>
        <v>1</v>
      </c>
      <c r="B366" s="41">
        <f t="shared" si="21"/>
        <v>1</v>
      </c>
      <c r="C366" s="41" t="str">
        <f t="shared" si="22"/>
        <v/>
      </c>
      <c r="D366" s="41" t="str">
        <f t="shared" si="23"/>
        <v/>
      </c>
      <c r="E366" s="62"/>
      <c r="F366" s="1" t="s">
        <v>327</v>
      </c>
      <c r="G366" s="1">
        <v>365</v>
      </c>
      <c r="H366" s="4" t="s">
        <v>334</v>
      </c>
      <c r="I366" s="4" t="str">
        <f>IF(ISERROR(VLOOKUP(H366,#REF!,9,0)),"",VLOOKUP(H366,#REF!,9,0))</f>
        <v/>
      </c>
      <c r="J366" s="42"/>
      <c r="K366" s="1" t="s">
        <v>321</v>
      </c>
      <c r="L366" s="1" t="s">
        <v>521</v>
      </c>
      <c r="M366" s="43"/>
      <c r="N366" s="42"/>
      <c r="O366" s="43"/>
      <c r="P366" s="43"/>
      <c r="Q366" s="43"/>
      <c r="R366" s="43"/>
      <c r="S366" s="43"/>
      <c r="T366" s="43"/>
      <c r="U366" s="42"/>
    </row>
    <row r="367" spans="1:21" ht="21" customHeight="1" x14ac:dyDescent="0.3">
      <c r="A367" s="44" t="str">
        <f t="shared" si="20"/>
        <v>1</v>
      </c>
      <c r="B367" s="41">
        <f t="shared" si="21"/>
        <v>1</v>
      </c>
      <c r="C367" s="41" t="str">
        <f t="shared" si="22"/>
        <v/>
      </c>
      <c r="D367" s="41" t="str">
        <f t="shared" si="23"/>
        <v/>
      </c>
      <c r="E367" s="62"/>
      <c r="F367" s="1" t="s">
        <v>327</v>
      </c>
      <c r="G367" s="1">
        <v>366</v>
      </c>
      <c r="H367" s="4" t="s">
        <v>334</v>
      </c>
      <c r="I367" s="4" t="str">
        <f>IF(ISERROR(VLOOKUP(H367,#REF!,9,0)),"",VLOOKUP(H367,#REF!,9,0))</f>
        <v/>
      </c>
      <c r="J367" s="42"/>
      <c r="K367" s="1" t="s">
        <v>321</v>
      </c>
      <c r="L367" s="1" t="s">
        <v>521</v>
      </c>
      <c r="M367" s="43"/>
      <c r="N367" s="42"/>
      <c r="O367" s="43"/>
      <c r="P367" s="43"/>
      <c r="Q367" s="43"/>
      <c r="R367" s="43"/>
      <c r="S367" s="43"/>
      <c r="T367" s="43"/>
      <c r="U367" s="42"/>
    </row>
    <row r="368" spans="1:21" ht="21" customHeight="1" x14ac:dyDescent="0.3">
      <c r="A368" s="44" t="str">
        <f t="shared" si="20"/>
        <v>1</v>
      </c>
      <c r="B368" s="41">
        <f t="shared" si="21"/>
        <v>1</v>
      </c>
      <c r="C368" s="41" t="str">
        <f t="shared" si="22"/>
        <v/>
      </c>
      <c r="D368" s="41" t="str">
        <f t="shared" si="23"/>
        <v/>
      </c>
      <c r="E368" s="62"/>
      <c r="F368" s="1" t="s">
        <v>327</v>
      </c>
      <c r="G368" s="1">
        <v>367</v>
      </c>
      <c r="H368" s="4" t="s">
        <v>334</v>
      </c>
      <c r="I368" s="4" t="str">
        <f>IF(ISERROR(VLOOKUP(H368,#REF!,9,0)),"",VLOOKUP(H368,#REF!,9,0))</f>
        <v/>
      </c>
      <c r="J368" s="42"/>
      <c r="K368" s="1" t="s">
        <v>321</v>
      </c>
      <c r="L368" s="1" t="s">
        <v>521</v>
      </c>
      <c r="M368" s="43"/>
      <c r="N368" s="42"/>
      <c r="O368" s="43"/>
      <c r="P368" s="43"/>
      <c r="Q368" s="43"/>
      <c r="R368" s="43"/>
      <c r="S368" s="43"/>
      <c r="T368" s="43"/>
      <c r="U368" s="42"/>
    </row>
    <row r="369" spans="1:21" ht="21" customHeight="1" x14ac:dyDescent="0.3">
      <c r="A369" s="44" t="str">
        <f t="shared" si="20"/>
        <v>1</v>
      </c>
      <c r="B369" s="41">
        <f t="shared" si="21"/>
        <v>1</v>
      </c>
      <c r="C369" s="41" t="str">
        <f t="shared" si="22"/>
        <v/>
      </c>
      <c r="D369" s="41" t="str">
        <f t="shared" si="23"/>
        <v/>
      </c>
      <c r="E369" s="62"/>
      <c r="F369" s="1" t="s">
        <v>322</v>
      </c>
      <c r="G369" s="1">
        <v>368</v>
      </c>
      <c r="H369" s="4" t="s">
        <v>335</v>
      </c>
      <c r="I369" s="4" t="str">
        <f>IF(ISERROR(VLOOKUP(H369,#REF!,9,0)),"",VLOOKUP(H369,#REF!,9,0))</f>
        <v/>
      </c>
      <c r="J369" s="42"/>
      <c r="K369" s="1" t="s">
        <v>321</v>
      </c>
      <c r="L369" s="1" t="s">
        <v>521</v>
      </c>
      <c r="M369" s="43"/>
      <c r="N369" s="42"/>
      <c r="O369" s="43"/>
      <c r="P369" s="43"/>
      <c r="Q369" s="43"/>
      <c r="R369" s="43"/>
      <c r="S369" s="43"/>
      <c r="T369" s="43"/>
      <c r="U369" s="42"/>
    </row>
    <row r="370" spans="1:21" ht="21" customHeight="1" x14ac:dyDescent="0.3">
      <c r="A370" s="44" t="str">
        <f t="shared" si="20"/>
        <v>1</v>
      </c>
      <c r="B370" s="41">
        <f t="shared" si="21"/>
        <v>1</v>
      </c>
      <c r="C370" s="41" t="str">
        <f t="shared" si="22"/>
        <v/>
      </c>
      <c r="D370" s="41" t="str">
        <f t="shared" si="23"/>
        <v/>
      </c>
      <c r="E370" s="62"/>
      <c r="F370" s="1" t="s">
        <v>322</v>
      </c>
      <c r="G370" s="1">
        <v>369</v>
      </c>
      <c r="H370" s="4" t="s">
        <v>336</v>
      </c>
      <c r="I370" s="4" t="str">
        <f>IF(ISERROR(VLOOKUP(H370,#REF!,9,0)),"",VLOOKUP(H370,#REF!,9,0))</f>
        <v/>
      </c>
      <c r="J370" s="42"/>
      <c r="K370" s="1" t="s">
        <v>321</v>
      </c>
      <c r="L370" s="1" t="s">
        <v>521</v>
      </c>
      <c r="M370" s="43"/>
      <c r="N370" s="42"/>
      <c r="O370" s="43"/>
      <c r="P370" s="43"/>
      <c r="Q370" s="43"/>
      <c r="R370" s="43"/>
      <c r="S370" s="43"/>
      <c r="T370" s="43"/>
      <c r="U370" s="42"/>
    </row>
    <row r="371" spans="1:21" ht="21" customHeight="1" x14ac:dyDescent="0.3">
      <c r="A371" s="44" t="str">
        <f t="shared" si="20"/>
        <v>1</v>
      </c>
      <c r="B371" s="41">
        <f t="shared" si="21"/>
        <v>1</v>
      </c>
      <c r="C371" s="41" t="str">
        <f t="shared" si="22"/>
        <v/>
      </c>
      <c r="D371" s="41" t="str">
        <f t="shared" si="23"/>
        <v/>
      </c>
      <c r="E371" s="62"/>
      <c r="F371" s="1" t="s">
        <v>327</v>
      </c>
      <c r="G371" s="1">
        <v>370</v>
      </c>
      <c r="H371" s="4" t="s">
        <v>333</v>
      </c>
      <c r="I371" s="4" t="str">
        <f>IF(ISERROR(VLOOKUP(H371,#REF!,9,0)),"",VLOOKUP(H371,#REF!,9,0))</f>
        <v/>
      </c>
      <c r="J371" s="42"/>
      <c r="K371" s="1" t="s">
        <v>321</v>
      </c>
      <c r="L371" s="1" t="s">
        <v>521</v>
      </c>
      <c r="M371" s="43"/>
      <c r="N371" s="42"/>
      <c r="O371" s="43"/>
      <c r="P371" s="43"/>
      <c r="Q371" s="43"/>
      <c r="R371" s="43"/>
      <c r="S371" s="43"/>
      <c r="T371" s="43"/>
      <c r="U371" s="42"/>
    </row>
    <row r="372" spans="1:21" ht="21" customHeight="1" x14ac:dyDescent="0.3">
      <c r="A372" s="44" t="str">
        <f t="shared" si="20"/>
        <v>1</v>
      </c>
      <c r="B372" s="41">
        <f t="shared" si="21"/>
        <v>1</v>
      </c>
      <c r="C372" s="41" t="str">
        <f t="shared" si="22"/>
        <v/>
      </c>
      <c r="D372" s="41" t="str">
        <f t="shared" si="23"/>
        <v/>
      </c>
      <c r="E372" s="62"/>
      <c r="F372" s="1" t="s">
        <v>322</v>
      </c>
      <c r="G372" s="1">
        <v>371</v>
      </c>
      <c r="H372" s="4" t="s">
        <v>337</v>
      </c>
      <c r="I372" s="4" t="str">
        <f>IF(ISERROR(VLOOKUP(H372,#REF!,9,0)),"",VLOOKUP(H372,#REF!,9,0))</f>
        <v/>
      </c>
      <c r="J372" s="42"/>
      <c r="K372" s="1" t="s">
        <v>321</v>
      </c>
      <c r="L372" s="1" t="s">
        <v>521</v>
      </c>
      <c r="M372" s="43"/>
      <c r="N372" s="42"/>
      <c r="O372" s="43"/>
      <c r="P372" s="43"/>
      <c r="Q372" s="43"/>
      <c r="R372" s="43"/>
      <c r="S372" s="43"/>
      <c r="T372" s="43"/>
      <c r="U372" s="42"/>
    </row>
    <row r="373" spans="1:21" ht="21" customHeight="1" x14ac:dyDescent="0.3">
      <c r="A373" s="44" t="str">
        <f t="shared" si="20"/>
        <v>1</v>
      </c>
      <c r="B373" s="41">
        <f t="shared" si="21"/>
        <v>1</v>
      </c>
      <c r="C373" s="41" t="str">
        <f t="shared" si="22"/>
        <v/>
      </c>
      <c r="D373" s="41" t="str">
        <f t="shared" si="23"/>
        <v/>
      </c>
      <c r="E373" s="62"/>
      <c r="F373" s="1" t="s">
        <v>327</v>
      </c>
      <c r="G373" s="1">
        <v>372</v>
      </c>
      <c r="H373" s="4" t="s">
        <v>334</v>
      </c>
      <c r="I373" s="4" t="str">
        <f>IF(ISERROR(VLOOKUP(H373,#REF!,9,0)),"",VLOOKUP(H373,#REF!,9,0))</f>
        <v/>
      </c>
      <c r="J373" s="42"/>
      <c r="K373" s="1" t="s">
        <v>321</v>
      </c>
      <c r="L373" s="1" t="s">
        <v>521</v>
      </c>
      <c r="M373" s="43"/>
      <c r="N373" s="42"/>
      <c r="O373" s="43"/>
      <c r="P373" s="43"/>
      <c r="Q373" s="43"/>
      <c r="R373" s="43"/>
      <c r="S373" s="43"/>
      <c r="T373" s="43"/>
      <c r="U373" s="42"/>
    </row>
    <row r="374" spans="1:21" ht="21" customHeight="1" x14ac:dyDescent="0.3">
      <c r="A374" s="44" t="str">
        <f t="shared" si="20"/>
        <v>1</v>
      </c>
      <c r="B374" s="41">
        <f t="shared" si="21"/>
        <v>1</v>
      </c>
      <c r="C374" s="41" t="str">
        <f t="shared" si="22"/>
        <v/>
      </c>
      <c r="D374" s="41" t="str">
        <f t="shared" si="23"/>
        <v/>
      </c>
      <c r="E374" s="62"/>
      <c r="F374" s="1" t="s">
        <v>327</v>
      </c>
      <c r="G374" s="1">
        <v>373</v>
      </c>
      <c r="H374" s="4" t="s">
        <v>339</v>
      </c>
      <c r="I374" s="4" t="str">
        <f>IF(ISERROR(VLOOKUP(H374,#REF!,9,0)),"",VLOOKUP(H374,#REF!,9,0))</f>
        <v/>
      </c>
      <c r="J374" s="42"/>
      <c r="K374" s="1" t="s">
        <v>321</v>
      </c>
      <c r="L374" s="1" t="s">
        <v>521</v>
      </c>
      <c r="M374" s="43"/>
      <c r="N374" s="42"/>
      <c r="O374" s="43"/>
      <c r="P374" s="43"/>
      <c r="Q374" s="43"/>
      <c r="R374" s="43"/>
      <c r="S374" s="43"/>
      <c r="T374" s="43"/>
      <c r="U374" s="42"/>
    </row>
    <row r="375" spans="1:21" ht="21" customHeight="1" x14ac:dyDescent="0.3">
      <c r="A375" s="44" t="str">
        <f t="shared" si="20"/>
        <v>1</v>
      </c>
      <c r="B375" s="41">
        <f t="shared" si="21"/>
        <v>1</v>
      </c>
      <c r="C375" s="41" t="str">
        <f t="shared" si="22"/>
        <v/>
      </c>
      <c r="D375" s="41" t="str">
        <f t="shared" si="23"/>
        <v/>
      </c>
      <c r="E375" s="62"/>
      <c r="F375" s="1" t="s">
        <v>327</v>
      </c>
      <c r="G375" s="1">
        <v>374</v>
      </c>
      <c r="H375" s="4" t="s">
        <v>339</v>
      </c>
      <c r="I375" s="4" t="str">
        <f>IF(ISERROR(VLOOKUP(H375,#REF!,9,0)),"",VLOOKUP(H375,#REF!,9,0))</f>
        <v/>
      </c>
      <c r="J375" s="42"/>
      <c r="K375" s="1" t="s">
        <v>321</v>
      </c>
      <c r="L375" s="1" t="s">
        <v>521</v>
      </c>
      <c r="M375" s="43"/>
      <c r="N375" s="42"/>
      <c r="O375" s="43"/>
      <c r="P375" s="43"/>
      <c r="Q375" s="43"/>
      <c r="R375" s="43"/>
      <c r="S375" s="43"/>
      <c r="T375" s="43"/>
      <c r="U375" s="42"/>
    </row>
    <row r="376" spans="1:21" ht="21" customHeight="1" x14ac:dyDescent="0.3">
      <c r="A376" s="44" t="str">
        <f t="shared" si="20"/>
        <v>1</v>
      </c>
      <c r="B376" s="41">
        <f t="shared" si="21"/>
        <v>1</v>
      </c>
      <c r="C376" s="41" t="str">
        <f t="shared" si="22"/>
        <v/>
      </c>
      <c r="D376" s="41" t="str">
        <f t="shared" si="23"/>
        <v/>
      </c>
      <c r="E376" s="62"/>
      <c r="F376" s="1" t="s">
        <v>327</v>
      </c>
      <c r="G376" s="1">
        <v>375</v>
      </c>
      <c r="H376" s="4" t="s">
        <v>339</v>
      </c>
      <c r="I376" s="4" t="str">
        <f>IF(ISERROR(VLOOKUP(H376,#REF!,9,0)),"",VLOOKUP(H376,#REF!,9,0))</f>
        <v/>
      </c>
      <c r="J376" s="42"/>
      <c r="K376" s="1" t="s">
        <v>321</v>
      </c>
      <c r="L376" s="1" t="s">
        <v>521</v>
      </c>
      <c r="M376" s="43"/>
      <c r="N376" s="42"/>
      <c r="O376" s="43"/>
      <c r="P376" s="43"/>
      <c r="Q376" s="43"/>
      <c r="R376" s="43"/>
      <c r="S376" s="43"/>
      <c r="T376" s="43"/>
      <c r="U376" s="42"/>
    </row>
    <row r="377" spans="1:21" ht="21" customHeight="1" x14ac:dyDescent="0.3">
      <c r="A377" s="44" t="str">
        <f t="shared" si="20"/>
        <v>1</v>
      </c>
      <c r="B377" s="41">
        <f t="shared" si="21"/>
        <v>1</v>
      </c>
      <c r="C377" s="41" t="str">
        <f t="shared" si="22"/>
        <v/>
      </c>
      <c r="D377" s="41" t="str">
        <f t="shared" si="23"/>
        <v/>
      </c>
      <c r="E377" s="62"/>
      <c r="F377" s="1" t="s">
        <v>327</v>
      </c>
      <c r="G377" s="1">
        <v>376</v>
      </c>
      <c r="H377" s="4" t="s">
        <v>339</v>
      </c>
      <c r="I377" s="4" t="str">
        <f>IF(ISERROR(VLOOKUP(H377,#REF!,9,0)),"",VLOOKUP(H377,#REF!,9,0))</f>
        <v/>
      </c>
      <c r="J377" s="42"/>
      <c r="K377" s="1" t="s">
        <v>321</v>
      </c>
      <c r="L377" s="1" t="s">
        <v>521</v>
      </c>
      <c r="M377" s="43"/>
      <c r="N377" s="42"/>
      <c r="O377" s="43"/>
      <c r="P377" s="43"/>
      <c r="Q377" s="43"/>
      <c r="R377" s="43"/>
      <c r="S377" s="43"/>
      <c r="T377" s="43"/>
      <c r="U377" s="42"/>
    </row>
    <row r="378" spans="1:21" ht="21" customHeight="1" x14ac:dyDescent="0.3">
      <c r="A378" s="44" t="str">
        <f t="shared" si="20"/>
        <v>1</v>
      </c>
      <c r="B378" s="41">
        <f t="shared" si="21"/>
        <v>1</v>
      </c>
      <c r="C378" s="41" t="str">
        <f t="shared" si="22"/>
        <v/>
      </c>
      <c r="D378" s="41" t="str">
        <f t="shared" si="23"/>
        <v/>
      </c>
      <c r="E378" s="62"/>
      <c r="F378" s="1" t="s">
        <v>327</v>
      </c>
      <c r="G378" s="1">
        <v>377</v>
      </c>
      <c r="H378" s="4" t="s">
        <v>339</v>
      </c>
      <c r="I378" s="4" t="str">
        <f>IF(ISERROR(VLOOKUP(H378,#REF!,9,0)),"",VLOOKUP(H378,#REF!,9,0))</f>
        <v/>
      </c>
      <c r="J378" s="42"/>
      <c r="K378" s="1" t="s">
        <v>321</v>
      </c>
      <c r="L378" s="1" t="s">
        <v>521</v>
      </c>
      <c r="M378" s="43"/>
      <c r="N378" s="42"/>
      <c r="O378" s="43"/>
      <c r="P378" s="43"/>
      <c r="Q378" s="43"/>
      <c r="R378" s="43"/>
      <c r="S378" s="43"/>
      <c r="T378" s="43"/>
      <c r="U378" s="42"/>
    </row>
    <row r="379" spans="1:21" ht="21" customHeight="1" x14ac:dyDescent="0.3">
      <c r="A379" s="44" t="str">
        <f t="shared" si="20"/>
        <v>1</v>
      </c>
      <c r="B379" s="41">
        <f t="shared" si="21"/>
        <v>1</v>
      </c>
      <c r="C379" s="41" t="str">
        <f t="shared" si="22"/>
        <v/>
      </c>
      <c r="D379" s="41" t="str">
        <f t="shared" si="23"/>
        <v/>
      </c>
      <c r="E379" s="62"/>
      <c r="F379" s="1" t="s">
        <v>322</v>
      </c>
      <c r="G379" s="1">
        <v>378</v>
      </c>
      <c r="H379" s="4" t="s">
        <v>338</v>
      </c>
      <c r="I379" s="4" t="str">
        <f>IF(ISERROR(VLOOKUP(H379,#REF!,9,0)),"",VLOOKUP(H379,#REF!,9,0))</f>
        <v/>
      </c>
      <c r="J379" s="42"/>
      <c r="K379" s="1" t="s">
        <v>321</v>
      </c>
      <c r="L379" s="1" t="s">
        <v>521</v>
      </c>
      <c r="M379" s="43"/>
      <c r="N379" s="42"/>
      <c r="O379" s="43"/>
      <c r="P379" s="43"/>
      <c r="Q379" s="43"/>
      <c r="R379" s="43"/>
      <c r="S379" s="43"/>
      <c r="T379" s="43"/>
      <c r="U379" s="42"/>
    </row>
    <row r="380" spans="1:21" ht="21" customHeight="1" x14ac:dyDescent="0.3">
      <c r="A380" s="44" t="str">
        <f t="shared" si="20"/>
        <v>1</v>
      </c>
      <c r="B380" s="41">
        <f t="shared" si="21"/>
        <v>1</v>
      </c>
      <c r="C380" s="41" t="str">
        <f t="shared" si="22"/>
        <v/>
      </c>
      <c r="D380" s="41" t="str">
        <f t="shared" si="23"/>
        <v/>
      </c>
      <c r="E380" s="62"/>
      <c r="F380" s="1" t="s">
        <v>327</v>
      </c>
      <c r="G380" s="1">
        <v>379</v>
      </c>
      <c r="H380" s="4" t="s">
        <v>339</v>
      </c>
      <c r="I380" s="4" t="str">
        <f>IF(ISERROR(VLOOKUP(H380,#REF!,9,0)),"",VLOOKUP(H380,#REF!,9,0))</f>
        <v/>
      </c>
      <c r="J380" s="42"/>
      <c r="K380" s="1" t="s">
        <v>321</v>
      </c>
      <c r="L380" s="1" t="s">
        <v>521</v>
      </c>
      <c r="M380" s="43"/>
      <c r="N380" s="42"/>
      <c r="O380" s="43"/>
      <c r="P380" s="43"/>
      <c r="Q380" s="43"/>
      <c r="R380" s="43"/>
      <c r="S380" s="43"/>
      <c r="T380" s="43"/>
      <c r="U380" s="42"/>
    </row>
    <row r="381" spans="1:21" ht="21" customHeight="1" x14ac:dyDescent="0.3">
      <c r="A381" s="44" t="str">
        <f t="shared" si="20"/>
        <v>1</v>
      </c>
      <c r="B381" s="41">
        <f t="shared" si="21"/>
        <v>1</v>
      </c>
      <c r="C381" s="41" t="str">
        <f t="shared" si="22"/>
        <v/>
      </c>
      <c r="D381" s="41" t="str">
        <f t="shared" si="23"/>
        <v/>
      </c>
      <c r="E381" s="62"/>
      <c r="F381" s="1" t="s">
        <v>322</v>
      </c>
      <c r="G381" s="1">
        <v>380</v>
      </c>
      <c r="H381" s="4" t="s">
        <v>340</v>
      </c>
      <c r="I381" s="4" t="str">
        <f>IF(ISERROR(VLOOKUP(H381,#REF!,9,0)),"",VLOOKUP(H381,#REF!,9,0))</f>
        <v/>
      </c>
      <c r="J381" s="42"/>
      <c r="K381" s="1" t="s">
        <v>321</v>
      </c>
      <c r="L381" s="1" t="s">
        <v>521</v>
      </c>
      <c r="M381" s="43"/>
      <c r="N381" s="42"/>
      <c r="O381" s="43"/>
      <c r="P381" s="43"/>
      <c r="Q381" s="43"/>
      <c r="R381" s="43"/>
      <c r="S381" s="43"/>
      <c r="T381" s="43"/>
      <c r="U381" s="42"/>
    </row>
    <row r="382" spans="1:21" ht="21" customHeight="1" x14ac:dyDescent="0.3">
      <c r="A382" s="44" t="str">
        <f t="shared" si="20"/>
        <v>1</v>
      </c>
      <c r="B382" s="41">
        <f t="shared" si="21"/>
        <v>1</v>
      </c>
      <c r="C382" s="41" t="str">
        <f t="shared" si="22"/>
        <v/>
      </c>
      <c r="D382" s="41" t="str">
        <f t="shared" si="23"/>
        <v/>
      </c>
      <c r="E382" s="62"/>
      <c r="F382" s="1" t="s">
        <v>322</v>
      </c>
      <c r="G382" s="1">
        <v>381</v>
      </c>
      <c r="H382" s="4" t="s">
        <v>341</v>
      </c>
      <c r="I382" s="4" t="str">
        <f>IF(ISERROR(VLOOKUP(H382,#REF!,9,0)),"",VLOOKUP(H382,#REF!,9,0))</f>
        <v/>
      </c>
      <c r="J382" s="42"/>
      <c r="K382" s="1" t="s">
        <v>321</v>
      </c>
      <c r="L382" s="1" t="s">
        <v>521</v>
      </c>
      <c r="M382" s="43"/>
      <c r="N382" s="42"/>
      <c r="O382" s="43"/>
      <c r="P382" s="43"/>
      <c r="Q382" s="43"/>
      <c r="R382" s="43"/>
      <c r="S382" s="43"/>
      <c r="T382" s="43"/>
      <c r="U382" s="42"/>
    </row>
    <row r="383" spans="1:21" ht="21" customHeight="1" x14ac:dyDescent="0.3">
      <c r="A383" s="44" t="str">
        <f t="shared" si="20"/>
        <v>1</v>
      </c>
      <c r="B383" s="41">
        <f t="shared" si="21"/>
        <v>1</v>
      </c>
      <c r="C383" s="41" t="str">
        <f t="shared" si="22"/>
        <v/>
      </c>
      <c r="D383" s="41" t="str">
        <f t="shared" si="23"/>
        <v/>
      </c>
      <c r="E383" s="62"/>
      <c r="F383" s="1" t="s">
        <v>322</v>
      </c>
      <c r="G383" s="1">
        <v>382</v>
      </c>
      <c r="H383" s="4" t="s">
        <v>342</v>
      </c>
      <c r="I383" s="4" t="str">
        <f>IF(ISERROR(VLOOKUP(H383,#REF!,9,0)),"",VLOOKUP(H383,#REF!,9,0))</f>
        <v/>
      </c>
      <c r="J383" s="42"/>
      <c r="K383" s="1" t="s">
        <v>321</v>
      </c>
      <c r="L383" s="1" t="s">
        <v>521</v>
      </c>
      <c r="M383" s="43"/>
      <c r="N383" s="42"/>
      <c r="O383" s="43"/>
      <c r="P383" s="43"/>
      <c r="Q383" s="43"/>
      <c r="R383" s="43"/>
      <c r="S383" s="43"/>
      <c r="T383" s="43"/>
      <c r="U383" s="42"/>
    </row>
    <row r="384" spans="1:21" ht="21" customHeight="1" x14ac:dyDescent="0.3">
      <c r="A384" s="44" t="str">
        <f t="shared" si="20"/>
        <v>1</v>
      </c>
      <c r="B384" s="41">
        <f t="shared" si="21"/>
        <v>1</v>
      </c>
      <c r="C384" s="41" t="str">
        <f t="shared" si="22"/>
        <v/>
      </c>
      <c r="D384" s="41" t="str">
        <f t="shared" si="23"/>
        <v/>
      </c>
      <c r="E384" s="62"/>
      <c r="F384" s="1" t="s">
        <v>322</v>
      </c>
      <c r="G384" s="1">
        <v>383</v>
      </c>
      <c r="H384" s="4" t="s">
        <v>343</v>
      </c>
      <c r="I384" s="4" t="str">
        <f>IF(ISERROR(VLOOKUP(H384,#REF!,9,0)),"",VLOOKUP(H384,#REF!,9,0))</f>
        <v/>
      </c>
      <c r="J384" s="42"/>
      <c r="K384" s="1" t="s">
        <v>321</v>
      </c>
      <c r="L384" s="1" t="s">
        <v>521</v>
      </c>
      <c r="M384" s="43"/>
      <c r="N384" s="42"/>
      <c r="O384" s="43"/>
      <c r="P384" s="43"/>
      <c r="Q384" s="43"/>
      <c r="R384" s="43"/>
      <c r="S384" s="43"/>
      <c r="T384" s="43"/>
      <c r="U384" s="42"/>
    </row>
    <row r="385" spans="1:21" ht="21" customHeight="1" x14ac:dyDescent="0.3">
      <c r="A385" s="44" t="str">
        <f t="shared" si="20"/>
        <v>1</v>
      </c>
      <c r="B385" s="41">
        <f t="shared" si="21"/>
        <v>1</v>
      </c>
      <c r="C385" s="41" t="str">
        <f t="shared" si="22"/>
        <v/>
      </c>
      <c r="D385" s="41" t="str">
        <f t="shared" si="23"/>
        <v/>
      </c>
      <c r="E385" s="62"/>
      <c r="F385" s="1" t="s">
        <v>322</v>
      </c>
      <c r="G385" s="1">
        <v>384</v>
      </c>
      <c r="H385" s="4" t="s">
        <v>344</v>
      </c>
      <c r="I385" s="4" t="str">
        <f>IF(ISERROR(VLOOKUP(H385,#REF!,9,0)),"",VLOOKUP(H385,#REF!,9,0))</f>
        <v/>
      </c>
      <c r="J385" s="42"/>
      <c r="K385" s="1" t="s">
        <v>321</v>
      </c>
      <c r="L385" s="1" t="s">
        <v>521</v>
      </c>
      <c r="M385" s="43"/>
      <c r="N385" s="42"/>
      <c r="O385" s="43"/>
      <c r="P385" s="43"/>
      <c r="Q385" s="43"/>
      <c r="R385" s="43"/>
      <c r="S385" s="43"/>
      <c r="T385" s="43"/>
      <c r="U385" s="42"/>
    </row>
    <row r="386" spans="1:21" ht="21" customHeight="1" x14ac:dyDescent="0.3">
      <c r="A386" s="44" t="str">
        <f t="shared" si="20"/>
        <v>11</v>
      </c>
      <c r="B386" s="41">
        <f t="shared" si="21"/>
        <v>1</v>
      </c>
      <c r="C386" s="41" t="str">
        <f t="shared" si="22"/>
        <v/>
      </c>
      <c r="D386" s="41">
        <f t="shared" si="23"/>
        <v>1</v>
      </c>
      <c r="E386" s="62"/>
      <c r="F386" s="1" t="s">
        <v>322</v>
      </c>
      <c r="G386" s="1">
        <v>385</v>
      </c>
      <c r="H386" s="4" t="s">
        <v>345</v>
      </c>
      <c r="I386" s="4" t="str">
        <f>IF(ISERROR(VLOOKUP(H386,#REF!,9,0)),"",VLOOKUP(H386,#REF!,9,0))</f>
        <v/>
      </c>
      <c r="J386" s="42" t="s">
        <v>345</v>
      </c>
      <c r="K386" s="1" t="s">
        <v>161</v>
      </c>
      <c r="L386" s="1" t="s">
        <v>521</v>
      </c>
      <c r="M386" s="43"/>
      <c r="N386" s="42"/>
      <c r="O386" s="43"/>
      <c r="P386" s="43"/>
      <c r="Q386" s="43"/>
      <c r="R386" s="43"/>
      <c r="S386" s="43"/>
      <c r="T386" s="43"/>
      <c r="U386" s="42"/>
    </row>
    <row r="387" spans="1:21" ht="21" customHeight="1" x14ac:dyDescent="0.3">
      <c r="A387" s="44" t="str">
        <f t="shared" si="20"/>
        <v>1</v>
      </c>
      <c r="B387" s="41">
        <f t="shared" si="21"/>
        <v>1</v>
      </c>
      <c r="C387" s="41" t="str">
        <f t="shared" si="22"/>
        <v/>
      </c>
      <c r="D387" s="41" t="str">
        <f t="shared" si="23"/>
        <v/>
      </c>
      <c r="E387" s="62"/>
      <c r="F387" s="1" t="s">
        <v>327</v>
      </c>
      <c r="G387" s="1">
        <v>386</v>
      </c>
      <c r="H387" s="4" t="s">
        <v>346</v>
      </c>
      <c r="I387" s="4" t="str">
        <f>IF(ISERROR(VLOOKUP(H387,#REF!,9,0)),"",VLOOKUP(H387,#REF!,9,0))</f>
        <v/>
      </c>
      <c r="J387" s="42"/>
      <c r="K387" s="1" t="s">
        <v>321</v>
      </c>
      <c r="L387" s="1" t="s">
        <v>521</v>
      </c>
      <c r="M387" s="43"/>
      <c r="N387" s="42"/>
      <c r="O387" s="43"/>
      <c r="P387" s="43"/>
      <c r="Q387" s="43"/>
      <c r="R387" s="43"/>
      <c r="S387" s="43"/>
      <c r="T387" s="43"/>
      <c r="U387" s="42"/>
    </row>
    <row r="388" spans="1:21" ht="21" customHeight="1" x14ac:dyDescent="0.3">
      <c r="A388" s="44" t="str">
        <f t="shared" ref="A388:A451" si="24">B388&amp;D388</f>
        <v>1</v>
      </c>
      <c r="B388" s="41">
        <f t="shared" ref="B388:B451" si="25">IF(H388="","",1)</f>
        <v>1</v>
      </c>
      <c r="C388" s="41" t="str">
        <f t="shared" ref="C388:C451" si="26">IF(I388="","",1)</f>
        <v/>
      </c>
      <c r="D388" s="41" t="str">
        <f t="shared" ref="D388:D451" si="27">IF(J388="","",1)</f>
        <v/>
      </c>
      <c r="E388" s="62"/>
      <c r="F388" s="1" t="s">
        <v>331</v>
      </c>
      <c r="G388" s="1">
        <v>387</v>
      </c>
      <c r="H388" s="4" t="s">
        <v>347</v>
      </c>
      <c r="I388" s="4" t="str">
        <f>IF(ISERROR(VLOOKUP(H388,#REF!,9,0)),"",VLOOKUP(H388,#REF!,9,0))</f>
        <v/>
      </c>
      <c r="J388" s="42"/>
      <c r="K388" s="1" t="s">
        <v>321</v>
      </c>
      <c r="L388" s="1" t="s">
        <v>521</v>
      </c>
      <c r="M388" s="43"/>
      <c r="N388" s="42"/>
      <c r="O388" s="43"/>
      <c r="P388" s="43"/>
      <c r="Q388" s="43"/>
      <c r="R388" s="43"/>
      <c r="S388" s="43"/>
      <c r="T388" s="43"/>
      <c r="U388" s="42"/>
    </row>
    <row r="389" spans="1:21" ht="21" customHeight="1" x14ac:dyDescent="0.3">
      <c r="A389" s="44" t="str">
        <f t="shared" si="24"/>
        <v>11</v>
      </c>
      <c r="B389" s="41">
        <f t="shared" si="25"/>
        <v>1</v>
      </c>
      <c r="C389" s="41" t="str">
        <f t="shared" si="26"/>
        <v/>
      </c>
      <c r="D389" s="41">
        <f t="shared" si="27"/>
        <v>1</v>
      </c>
      <c r="E389" s="62"/>
      <c r="F389" s="1" t="s">
        <v>322</v>
      </c>
      <c r="G389" s="1">
        <v>388</v>
      </c>
      <c r="H389" s="4" t="s">
        <v>348</v>
      </c>
      <c r="I389" s="4" t="str">
        <f>IF(ISERROR(VLOOKUP(H389,#REF!,9,0)),"",VLOOKUP(H389,#REF!,9,0))</f>
        <v/>
      </c>
      <c r="J389" s="42" t="s">
        <v>348</v>
      </c>
      <c r="K389" s="1" t="s">
        <v>161</v>
      </c>
      <c r="L389" s="1" t="s">
        <v>521</v>
      </c>
      <c r="M389" s="43"/>
      <c r="N389" s="42"/>
      <c r="O389" s="43"/>
      <c r="P389" s="43"/>
      <c r="Q389" s="43"/>
      <c r="R389" s="43"/>
      <c r="S389" s="43"/>
      <c r="T389" s="43"/>
      <c r="U389" s="42"/>
    </row>
    <row r="390" spans="1:21" ht="21" customHeight="1" x14ac:dyDescent="0.3">
      <c r="A390" s="44" t="str">
        <f t="shared" si="24"/>
        <v>1</v>
      </c>
      <c r="B390" s="41">
        <f t="shared" si="25"/>
        <v>1</v>
      </c>
      <c r="C390" s="41" t="str">
        <f t="shared" si="26"/>
        <v/>
      </c>
      <c r="D390" s="41" t="str">
        <f t="shared" si="27"/>
        <v/>
      </c>
      <c r="E390" s="62"/>
      <c r="F390" s="1" t="s">
        <v>322</v>
      </c>
      <c r="G390" s="1">
        <v>389</v>
      </c>
      <c r="H390" s="4" t="s">
        <v>349</v>
      </c>
      <c r="I390" s="4" t="str">
        <f>IF(ISERROR(VLOOKUP(H390,#REF!,9,0)),"",VLOOKUP(H390,#REF!,9,0))</f>
        <v/>
      </c>
      <c r="J390" s="42"/>
      <c r="K390" s="1" t="s">
        <v>321</v>
      </c>
      <c r="L390" s="1" t="s">
        <v>521</v>
      </c>
      <c r="M390" s="43"/>
      <c r="N390" s="42"/>
      <c r="O390" s="43"/>
      <c r="P390" s="43"/>
      <c r="Q390" s="43"/>
      <c r="R390" s="43"/>
      <c r="S390" s="43"/>
      <c r="T390" s="43"/>
      <c r="U390" s="42"/>
    </row>
    <row r="391" spans="1:21" ht="21" customHeight="1" x14ac:dyDescent="0.3">
      <c r="A391" s="44" t="str">
        <f t="shared" si="24"/>
        <v>1</v>
      </c>
      <c r="B391" s="41">
        <f t="shared" si="25"/>
        <v>1</v>
      </c>
      <c r="C391" s="41" t="str">
        <f t="shared" si="26"/>
        <v/>
      </c>
      <c r="D391" s="41" t="str">
        <f t="shared" si="27"/>
        <v/>
      </c>
      <c r="E391" s="62" t="s">
        <v>350</v>
      </c>
      <c r="F391" s="1" t="s">
        <v>351</v>
      </c>
      <c r="G391" s="1">
        <v>390</v>
      </c>
      <c r="H391" s="4" t="s">
        <v>352</v>
      </c>
      <c r="I391" s="4" t="str">
        <f>IF(ISERROR(VLOOKUP(H391,#REF!,9,0)),"",VLOOKUP(H391,#REF!,9,0))</f>
        <v/>
      </c>
      <c r="J391" s="42"/>
      <c r="K391" s="1" t="s">
        <v>350</v>
      </c>
      <c r="L391" s="1" t="s">
        <v>522</v>
      </c>
      <c r="M391" s="43" t="s">
        <v>890</v>
      </c>
      <c r="N391" s="42"/>
      <c r="O391" s="43"/>
      <c r="P391" s="43"/>
      <c r="Q391" s="43"/>
      <c r="R391" s="43"/>
      <c r="S391" s="43"/>
      <c r="T391" s="43"/>
      <c r="U391" s="42"/>
    </row>
    <row r="392" spans="1:21" ht="21" customHeight="1" x14ac:dyDescent="0.3">
      <c r="A392" s="44" t="str">
        <f t="shared" si="24"/>
        <v>1</v>
      </c>
      <c r="B392" s="41">
        <f t="shared" si="25"/>
        <v>1</v>
      </c>
      <c r="C392" s="41" t="str">
        <f t="shared" si="26"/>
        <v/>
      </c>
      <c r="D392" s="41" t="str">
        <f t="shared" si="27"/>
        <v/>
      </c>
      <c r="E392" s="62"/>
      <c r="F392" s="1" t="s">
        <v>327</v>
      </c>
      <c r="G392" s="1">
        <v>391</v>
      </c>
      <c r="H392" s="4" t="s">
        <v>353</v>
      </c>
      <c r="I392" s="4" t="str">
        <f>IF(ISERROR(VLOOKUP(H392,#REF!,9,0)),"",VLOOKUP(H392,#REF!,9,0))</f>
        <v/>
      </c>
      <c r="J392" s="42"/>
      <c r="K392" s="1" t="s">
        <v>350</v>
      </c>
      <c r="L392" s="1" t="s">
        <v>522</v>
      </c>
      <c r="M392" s="43" t="s">
        <v>890</v>
      </c>
      <c r="N392" s="42"/>
      <c r="O392" s="43"/>
      <c r="P392" s="43"/>
      <c r="Q392" s="43"/>
      <c r="R392" s="43"/>
      <c r="S392" s="43"/>
      <c r="T392" s="43"/>
      <c r="U392" s="42"/>
    </row>
    <row r="393" spans="1:21" ht="21" customHeight="1" x14ac:dyDescent="0.3">
      <c r="A393" s="44" t="str">
        <f t="shared" si="24"/>
        <v>1</v>
      </c>
      <c r="B393" s="41">
        <f t="shared" si="25"/>
        <v>1</v>
      </c>
      <c r="C393" s="41" t="str">
        <f t="shared" si="26"/>
        <v/>
      </c>
      <c r="D393" s="41" t="str">
        <f t="shared" si="27"/>
        <v/>
      </c>
      <c r="E393" s="62"/>
      <c r="F393" s="1" t="s">
        <v>322</v>
      </c>
      <c r="G393" s="1">
        <v>392</v>
      </c>
      <c r="H393" s="4" t="s">
        <v>323</v>
      </c>
      <c r="I393" s="4" t="str">
        <f>IF(ISERROR(VLOOKUP(H393,#REF!,9,0)),"",VLOOKUP(H393,#REF!,9,0))</f>
        <v/>
      </c>
      <c r="J393" s="42"/>
      <c r="K393" s="1" t="s">
        <v>350</v>
      </c>
      <c r="L393" s="1" t="s">
        <v>522</v>
      </c>
      <c r="M393" s="43" t="s">
        <v>890</v>
      </c>
      <c r="N393" s="42"/>
      <c r="O393" s="43"/>
      <c r="P393" s="43"/>
      <c r="Q393" s="43"/>
      <c r="R393" s="43"/>
      <c r="S393" s="43"/>
      <c r="T393" s="43"/>
      <c r="U393" s="42"/>
    </row>
    <row r="394" spans="1:21" ht="21" customHeight="1" x14ac:dyDescent="0.3">
      <c r="A394" s="44" t="str">
        <f t="shared" si="24"/>
        <v>1</v>
      </c>
      <c r="B394" s="41">
        <f t="shared" si="25"/>
        <v>1</v>
      </c>
      <c r="C394" s="41" t="str">
        <f t="shared" si="26"/>
        <v/>
      </c>
      <c r="D394" s="41" t="str">
        <f t="shared" si="27"/>
        <v/>
      </c>
      <c r="E394" s="62"/>
      <c r="F394" s="1" t="s">
        <v>327</v>
      </c>
      <c r="G394" s="1">
        <v>393</v>
      </c>
      <c r="H394" s="4" t="s">
        <v>346</v>
      </c>
      <c r="I394" s="4" t="str">
        <f>IF(ISERROR(VLOOKUP(H394,#REF!,9,0)),"",VLOOKUP(H394,#REF!,9,0))</f>
        <v/>
      </c>
      <c r="J394" s="42"/>
      <c r="K394" s="1" t="s">
        <v>350</v>
      </c>
      <c r="L394" s="1" t="s">
        <v>522</v>
      </c>
      <c r="M394" s="43" t="s">
        <v>890</v>
      </c>
      <c r="N394" s="42"/>
      <c r="O394" s="43"/>
      <c r="P394" s="43"/>
      <c r="Q394" s="43"/>
      <c r="R394" s="43"/>
      <c r="S394" s="43"/>
      <c r="T394" s="43"/>
      <c r="U394" s="42"/>
    </row>
    <row r="395" spans="1:21" ht="21" customHeight="1" x14ac:dyDescent="0.3">
      <c r="A395" s="44" t="str">
        <f t="shared" si="24"/>
        <v>1</v>
      </c>
      <c r="B395" s="41">
        <f t="shared" si="25"/>
        <v>1</v>
      </c>
      <c r="C395" s="41" t="str">
        <f t="shared" si="26"/>
        <v/>
      </c>
      <c r="D395" s="41" t="str">
        <f t="shared" si="27"/>
        <v/>
      </c>
      <c r="E395" s="62"/>
      <c r="F395" s="1" t="s">
        <v>322</v>
      </c>
      <c r="G395" s="1">
        <v>394</v>
      </c>
      <c r="H395" s="4" t="s">
        <v>354</v>
      </c>
      <c r="I395" s="4" t="str">
        <f>IF(ISERROR(VLOOKUP(H395,#REF!,9,0)),"",VLOOKUP(H395,#REF!,9,0))</f>
        <v/>
      </c>
      <c r="J395" s="42"/>
      <c r="K395" s="1" t="s">
        <v>350</v>
      </c>
      <c r="L395" s="1" t="s">
        <v>522</v>
      </c>
      <c r="M395" s="43" t="s">
        <v>890</v>
      </c>
      <c r="N395" s="42"/>
      <c r="O395" s="43"/>
      <c r="P395" s="43"/>
      <c r="Q395" s="43"/>
      <c r="R395" s="43"/>
      <c r="S395" s="43"/>
      <c r="T395" s="43"/>
      <c r="U395" s="42"/>
    </row>
    <row r="396" spans="1:21" ht="21" customHeight="1" x14ac:dyDescent="0.3">
      <c r="A396" s="44" t="str">
        <f t="shared" si="24"/>
        <v>1</v>
      </c>
      <c r="B396" s="41">
        <f t="shared" si="25"/>
        <v>1</v>
      </c>
      <c r="C396" s="41" t="str">
        <f t="shared" si="26"/>
        <v/>
      </c>
      <c r="D396" s="41" t="str">
        <f t="shared" si="27"/>
        <v/>
      </c>
      <c r="E396" s="62"/>
      <c r="F396" s="1" t="s">
        <v>327</v>
      </c>
      <c r="G396" s="1">
        <v>395</v>
      </c>
      <c r="H396" s="4" t="s">
        <v>355</v>
      </c>
      <c r="I396" s="4" t="str">
        <f>IF(ISERROR(VLOOKUP(H396,#REF!,9,0)),"",VLOOKUP(H396,#REF!,9,0))</f>
        <v/>
      </c>
      <c r="J396" s="42"/>
      <c r="K396" s="1" t="s">
        <v>350</v>
      </c>
      <c r="L396" s="1" t="s">
        <v>522</v>
      </c>
      <c r="M396" s="43" t="s">
        <v>890</v>
      </c>
      <c r="N396" s="42"/>
      <c r="O396" s="43"/>
      <c r="P396" s="43"/>
      <c r="Q396" s="43"/>
      <c r="R396" s="43"/>
      <c r="S396" s="43"/>
      <c r="T396" s="43"/>
      <c r="U396" s="42"/>
    </row>
    <row r="397" spans="1:21" ht="21" customHeight="1" x14ac:dyDescent="0.3">
      <c r="A397" s="44" t="str">
        <f t="shared" si="24"/>
        <v>1</v>
      </c>
      <c r="B397" s="41">
        <f t="shared" si="25"/>
        <v>1</v>
      </c>
      <c r="C397" s="41" t="str">
        <f t="shared" si="26"/>
        <v/>
      </c>
      <c r="D397" s="41" t="str">
        <f t="shared" si="27"/>
        <v/>
      </c>
      <c r="E397" s="62"/>
      <c r="F397" s="1" t="s">
        <v>322</v>
      </c>
      <c r="G397" s="1">
        <v>396</v>
      </c>
      <c r="H397" s="4" t="s">
        <v>356</v>
      </c>
      <c r="I397" s="4" t="str">
        <f>IF(ISERROR(VLOOKUP(H397,#REF!,9,0)),"",VLOOKUP(H397,#REF!,9,0))</f>
        <v/>
      </c>
      <c r="J397" s="42"/>
      <c r="K397" s="1" t="s">
        <v>350</v>
      </c>
      <c r="L397" s="1" t="s">
        <v>522</v>
      </c>
      <c r="M397" s="43" t="s">
        <v>890</v>
      </c>
      <c r="N397" s="42"/>
      <c r="O397" s="43"/>
      <c r="P397" s="43"/>
      <c r="Q397" s="43"/>
      <c r="R397" s="43"/>
      <c r="S397" s="43"/>
      <c r="T397" s="43"/>
      <c r="U397" s="42"/>
    </row>
    <row r="398" spans="1:21" ht="21" customHeight="1" x14ac:dyDescent="0.3">
      <c r="A398" s="44" t="str">
        <f t="shared" si="24"/>
        <v>1</v>
      </c>
      <c r="B398" s="41">
        <f t="shared" si="25"/>
        <v>1</v>
      </c>
      <c r="C398" s="41" t="str">
        <f t="shared" si="26"/>
        <v/>
      </c>
      <c r="D398" s="41" t="str">
        <f t="shared" si="27"/>
        <v/>
      </c>
      <c r="E398" s="62"/>
      <c r="F398" s="1" t="s">
        <v>327</v>
      </c>
      <c r="G398" s="1">
        <v>397</v>
      </c>
      <c r="H398" s="4" t="s">
        <v>357</v>
      </c>
      <c r="I398" s="4" t="str">
        <f>IF(ISERROR(VLOOKUP(H398,#REF!,9,0)),"",VLOOKUP(H398,#REF!,9,0))</f>
        <v/>
      </c>
      <c r="J398" s="42"/>
      <c r="K398" s="1" t="s">
        <v>350</v>
      </c>
      <c r="L398" s="1" t="s">
        <v>522</v>
      </c>
      <c r="M398" s="43" t="s">
        <v>890</v>
      </c>
      <c r="N398" s="42"/>
      <c r="O398" s="43"/>
      <c r="P398" s="43"/>
      <c r="Q398" s="43"/>
      <c r="R398" s="43"/>
      <c r="S398" s="43"/>
      <c r="T398" s="43"/>
      <c r="U398" s="42"/>
    </row>
    <row r="399" spans="1:21" ht="21" customHeight="1" x14ac:dyDescent="0.3">
      <c r="A399" s="44" t="str">
        <f t="shared" si="24"/>
        <v>1</v>
      </c>
      <c r="B399" s="41">
        <f t="shared" si="25"/>
        <v>1</v>
      </c>
      <c r="C399" s="41" t="str">
        <f t="shared" si="26"/>
        <v/>
      </c>
      <c r="D399" s="41" t="str">
        <f t="shared" si="27"/>
        <v/>
      </c>
      <c r="E399" s="62"/>
      <c r="F399" s="1" t="s">
        <v>327</v>
      </c>
      <c r="G399" s="1">
        <v>398</v>
      </c>
      <c r="H399" s="4" t="s">
        <v>358</v>
      </c>
      <c r="I399" s="4" t="str">
        <f>IF(ISERROR(VLOOKUP(H399,#REF!,9,0)),"",VLOOKUP(H399,#REF!,9,0))</f>
        <v/>
      </c>
      <c r="J399" s="42"/>
      <c r="K399" s="1" t="s">
        <v>350</v>
      </c>
      <c r="L399" s="1" t="s">
        <v>522</v>
      </c>
      <c r="M399" s="43" t="s">
        <v>890</v>
      </c>
      <c r="N399" s="42"/>
      <c r="O399" s="43"/>
      <c r="P399" s="43"/>
      <c r="Q399" s="43"/>
      <c r="R399" s="43"/>
      <c r="S399" s="43"/>
      <c r="T399" s="43"/>
      <c r="U399" s="42"/>
    </row>
    <row r="400" spans="1:21" ht="21" customHeight="1" x14ac:dyDescent="0.3">
      <c r="A400" s="44" t="str">
        <f t="shared" si="24"/>
        <v>1</v>
      </c>
      <c r="B400" s="41">
        <f t="shared" si="25"/>
        <v>1</v>
      </c>
      <c r="C400" s="41" t="str">
        <f t="shared" si="26"/>
        <v/>
      </c>
      <c r="D400" s="41" t="str">
        <f t="shared" si="27"/>
        <v/>
      </c>
      <c r="E400" s="62"/>
      <c r="F400" s="1" t="s">
        <v>327</v>
      </c>
      <c r="G400" s="1">
        <v>399</v>
      </c>
      <c r="H400" s="4" t="s">
        <v>359</v>
      </c>
      <c r="I400" s="4" t="str">
        <f>IF(ISERROR(VLOOKUP(H400,#REF!,9,0)),"",VLOOKUP(H400,#REF!,9,0))</f>
        <v/>
      </c>
      <c r="J400" s="42"/>
      <c r="K400" s="1" t="s">
        <v>350</v>
      </c>
      <c r="L400" s="1" t="s">
        <v>522</v>
      </c>
      <c r="M400" s="43" t="s">
        <v>890</v>
      </c>
      <c r="N400" s="42"/>
      <c r="O400" s="43"/>
      <c r="P400" s="43"/>
      <c r="Q400" s="43"/>
      <c r="R400" s="43"/>
      <c r="S400" s="43"/>
      <c r="T400" s="43"/>
      <c r="U400" s="42"/>
    </row>
    <row r="401" spans="1:21" ht="21" customHeight="1" x14ac:dyDescent="0.3">
      <c r="A401" s="44" t="str">
        <f t="shared" si="24"/>
        <v>1</v>
      </c>
      <c r="B401" s="41">
        <f t="shared" si="25"/>
        <v>1</v>
      </c>
      <c r="C401" s="41" t="str">
        <f t="shared" si="26"/>
        <v/>
      </c>
      <c r="D401" s="41" t="str">
        <f t="shared" si="27"/>
        <v/>
      </c>
      <c r="E401" s="62"/>
      <c r="F401" s="1" t="s">
        <v>322</v>
      </c>
      <c r="G401" s="1">
        <v>400</v>
      </c>
      <c r="H401" s="4" t="s">
        <v>360</v>
      </c>
      <c r="I401" s="4" t="str">
        <f>IF(ISERROR(VLOOKUP(H401,#REF!,9,0)),"",VLOOKUP(H401,#REF!,9,0))</f>
        <v/>
      </c>
      <c r="J401" s="42"/>
      <c r="K401" s="1" t="s">
        <v>350</v>
      </c>
      <c r="L401" s="1" t="s">
        <v>522</v>
      </c>
      <c r="M401" s="43" t="s">
        <v>890</v>
      </c>
      <c r="N401" s="42"/>
      <c r="O401" s="43"/>
      <c r="P401" s="43"/>
      <c r="Q401" s="43"/>
      <c r="R401" s="43"/>
      <c r="S401" s="43"/>
      <c r="T401" s="43"/>
      <c r="U401" s="42"/>
    </row>
    <row r="402" spans="1:21" ht="21" customHeight="1" x14ac:dyDescent="0.3">
      <c r="A402" s="44" t="str">
        <f t="shared" si="24"/>
        <v>1</v>
      </c>
      <c r="B402" s="41">
        <f t="shared" si="25"/>
        <v>1</v>
      </c>
      <c r="C402" s="41" t="str">
        <f t="shared" si="26"/>
        <v/>
      </c>
      <c r="D402" s="41" t="str">
        <f t="shared" si="27"/>
        <v/>
      </c>
      <c r="E402" s="62"/>
      <c r="F402" s="1" t="s">
        <v>327</v>
      </c>
      <c r="G402" s="1">
        <v>401</v>
      </c>
      <c r="H402" s="4" t="s">
        <v>361</v>
      </c>
      <c r="I402" s="4" t="str">
        <f>IF(ISERROR(VLOOKUP(H402,#REF!,9,0)),"",VLOOKUP(H402,#REF!,9,0))</f>
        <v/>
      </c>
      <c r="J402" s="42"/>
      <c r="K402" s="1" t="s">
        <v>350</v>
      </c>
      <c r="L402" s="1" t="s">
        <v>522</v>
      </c>
      <c r="M402" s="43" t="s">
        <v>890</v>
      </c>
      <c r="N402" s="42"/>
      <c r="O402" s="43"/>
      <c r="P402" s="43"/>
      <c r="Q402" s="43"/>
      <c r="R402" s="43"/>
      <c r="S402" s="43"/>
      <c r="T402" s="43"/>
      <c r="U402" s="42"/>
    </row>
    <row r="403" spans="1:21" ht="21" customHeight="1" x14ac:dyDescent="0.3">
      <c r="A403" s="44" t="str">
        <f t="shared" si="24"/>
        <v>1</v>
      </c>
      <c r="B403" s="41">
        <f t="shared" si="25"/>
        <v>1</v>
      </c>
      <c r="C403" s="41" t="str">
        <f t="shared" si="26"/>
        <v/>
      </c>
      <c r="D403" s="41" t="str">
        <f t="shared" si="27"/>
        <v/>
      </c>
      <c r="E403" s="62" t="s">
        <v>362</v>
      </c>
      <c r="F403" s="1" t="s">
        <v>363</v>
      </c>
      <c r="G403" s="1">
        <v>402</v>
      </c>
      <c r="H403" s="4" t="s">
        <v>364</v>
      </c>
      <c r="I403" s="4" t="str">
        <f>IF(ISERROR(VLOOKUP(H403,#REF!,9,0)),"",VLOOKUP(H403,#REF!,9,0))</f>
        <v/>
      </c>
      <c r="J403" s="42"/>
      <c r="K403" s="1" t="s">
        <v>362</v>
      </c>
      <c r="L403" s="1" t="s">
        <v>522</v>
      </c>
      <c r="M403" s="43" t="s">
        <v>890</v>
      </c>
      <c r="N403" s="42"/>
      <c r="O403" s="43"/>
      <c r="P403" s="43"/>
      <c r="Q403" s="43"/>
      <c r="R403" s="43"/>
      <c r="S403" s="43"/>
      <c r="T403" s="43"/>
      <c r="U403" s="42"/>
    </row>
    <row r="404" spans="1:21" ht="21" customHeight="1" x14ac:dyDescent="0.3">
      <c r="A404" s="44" t="str">
        <f t="shared" si="24"/>
        <v>1</v>
      </c>
      <c r="B404" s="41">
        <f t="shared" si="25"/>
        <v>1</v>
      </c>
      <c r="C404" s="41" t="str">
        <f t="shared" si="26"/>
        <v/>
      </c>
      <c r="D404" s="41" t="str">
        <f t="shared" si="27"/>
        <v/>
      </c>
      <c r="E404" s="62"/>
      <c r="F404" s="1" t="s">
        <v>365</v>
      </c>
      <c r="G404" s="1">
        <v>403</v>
      </c>
      <c r="H404" s="4" t="s">
        <v>366</v>
      </c>
      <c r="I404" s="4" t="str">
        <f>IF(ISERROR(VLOOKUP(H404,#REF!,9,0)),"",VLOOKUP(H404,#REF!,9,0))</f>
        <v/>
      </c>
      <c r="J404" s="42"/>
      <c r="K404" s="1" t="s">
        <v>362</v>
      </c>
      <c r="L404" s="1" t="s">
        <v>522</v>
      </c>
      <c r="M404" s="43" t="s">
        <v>890</v>
      </c>
      <c r="N404" s="42"/>
      <c r="O404" s="43"/>
      <c r="P404" s="43"/>
      <c r="Q404" s="43"/>
      <c r="R404" s="43"/>
      <c r="S404" s="43"/>
      <c r="T404" s="43"/>
      <c r="U404" s="42"/>
    </row>
    <row r="405" spans="1:21" ht="21" customHeight="1" x14ac:dyDescent="0.3">
      <c r="A405" s="44" t="str">
        <f t="shared" si="24"/>
        <v>1</v>
      </c>
      <c r="B405" s="41">
        <f t="shared" si="25"/>
        <v>1</v>
      </c>
      <c r="C405" s="41" t="str">
        <f t="shared" si="26"/>
        <v/>
      </c>
      <c r="D405" s="41" t="str">
        <f t="shared" si="27"/>
        <v/>
      </c>
      <c r="E405" s="62"/>
      <c r="F405" s="1" t="s">
        <v>363</v>
      </c>
      <c r="G405" s="1">
        <v>404</v>
      </c>
      <c r="H405" s="4" t="s">
        <v>363</v>
      </c>
      <c r="I405" s="4" t="str">
        <f>IF(ISERROR(VLOOKUP(H405,#REF!,9,0)),"",VLOOKUP(H405,#REF!,9,0))</f>
        <v/>
      </c>
      <c r="J405" s="42"/>
      <c r="K405" s="1" t="s">
        <v>362</v>
      </c>
      <c r="L405" s="1" t="s">
        <v>522</v>
      </c>
      <c r="M405" s="43" t="s">
        <v>890</v>
      </c>
      <c r="N405" s="42"/>
      <c r="O405" s="43"/>
      <c r="P405" s="43"/>
      <c r="Q405" s="43"/>
      <c r="R405" s="43"/>
      <c r="S405" s="43"/>
      <c r="T405" s="43"/>
      <c r="U405" s="42"/>
    </row>
    <row r="406" spans="1:21" ht="21" customHeight="1" x14ac:dyDescent="0.3">
      <c r="A406" s="44" t="str">
        <f t="shared" si="24"/>
        <v>1</v>
      </c>
      <c r="B406" s="41">
        <f t="shared" si="25"/>
        <v>1</v>
      </c>
      <c r="C406" s="41" t="str">
        <f t="shared" si="26"/>
        <v/>
      </c>
      <c r="D406" s="41" t="str">
        <f t="shared" si="27"/>
        <v/>
      </c>
      <c r="E406" s="62"/>
      <c r="F406" s="1" t="s">
        <v>327</v>
      </c>
      <c r="G406" s="1">
        <v>405</v>
      </c>
      <c r="H406" s="4" t="s">
        <v>367</v>
      </c>
      <c r="I406" s="4" t="str">
        <f>IF(ISERROR(VLOOKUP(H406,#REF!,9,0)),"",VLOOKUP(H406,#REF!,9,0))</f>
        <v/>
      </c>
      <c r="J406" s="42"/>
      <c r="K406" s="1" t="s">
        <v>362</v>
      </c>
      <c r="L406" s="1" t="s">
        <v>522</v>
      </c>
      <c r="M406" s="43" t="s">
        <v>890</v>
      </c>
      <c r="N406" s="42"/>
      <c r="O406" s="43"/>
      <c r="P406" s="43"/>
      <c r="Q406" s="43"/>
      <c r="R406" s="43"/>
      <c r="S406" s="43"/>
      <c r="T406" s="43"/>
      <c r="U406" s="42"/>
    </row>
    <row r="407" spans="1:21" ht="21" customHeight="1" x14ac:dyDescent="0.3">
      <c r="A407" s="44" t="str">
        <f t="shared" si="24"/>
        <v>1</v>
      </c>
      <c r="B407" s="41">
        <f t="shared" si="25"/>
        <v>1</v>
      </c>
      <c r="C407" s="41" t="str">
        <f t="shared" si="26"/>
        <v/>
      </c>
      <c r="D407" s="41" t="str">
        <f t="shared" si="27"/>
        <v/>
      </c>
      <c r="E407" s="62"/>
      <c r="F407" s="1" t="s">
        <v>368</v>
      </c>
      <c r="G407" s="1">
        <v>406</v>
      </c>
      <c r="H407" s="4" t="s">
        <v>369</v>
      </c>
      <c r="I407" s="4" t="str">
        <f>IF(ISERROR(VLOOKUP(H407,#REF!,9,0)),"",VLOOKUP(H407,#REF!,9,0))</f>
        <v/>
      </c>
      <c r="J407" s="42"/>
      <c r="K407" s="1" t="s">
        <v>362</v>
      </c>
      <c r="L407" s="1" t="s">
        <v>522</v>
      </c>
      <c r="M407" s="43" t="s">
        <v>890</v>
      </c>
      <c r="N407" s="42"/>
      <c r="O407" s="43"/>
      <c r="P407" s="43"/>
      <c r="Q407" s="43"/>
      <c r="R407" s="43"/>
      <c r="S407" s="43"/>
      <c r="T407" s="43"/>
      <c r="U407" s="42"/>
    </row>
    <row r="408" spans="1:21" ht="21" customHeight="1" x14ac:dyDescent="0.3">
      <c r="A408" s="44" t="str">
        <f t="shared" si="24"/>
        <v>1</v>
      </c>
      <c r="B408" s="41">
        <f t="shared" si="25"/>
        <v>1</v>
      </c>
      <c r="C408" s="41" t="str">
        <f t="shared" si="26"/>
        <v/>
      </c>
      <c r="D408" s="41" t="str">
        <f t="shared" si="27"/>
        <v/>
      </c>
      <c r="E408" s="62"/>
      <c r="F408" s="1" t="s">
        <v>327</v>
      </c>
      <c r="G408" s="1">
        <v>407</v>
      </c>
      <c r="H408" s="4" t="s">
        <v>370</v>
      </c>
      <c r="I408" s="4" t="str">
        <f>IF(ISERROR(VLOOKUP(H408,#REF!,9,0)),"",VLOOKUP(H408,#REF!,9,0))</f>
        <v/>
      </c>
      <c r="J408" s="42"/>
      <c r="K408" s="1" t="s">
        <v>362</v>
      </c>
      <c r="L408" s="1" t="s">
        <v>522</v>
      </c>
      <c r="M408" s="43" t="s">
        <v>890</v>
      </c>
      <c r="N408" s="42"/>
      <c r="O408" s="43"/>
      <c r="P408" s="43"/>
      <c r="Q408" s="43"/>
      <c r="R408" s="43"/>
      <c r="S408" s="43"/>
      <c r="T408" s="43"/>
      <c r="U408" s="42"/>
    </row>
    <row r="409" spans="1:21" ht="21" customHeight="1" x14ac:dyDescent="0.3">
      <c r="A409" s="44" t="str">
        <f t="shared" si="24"/>
        <v>1</v>
      </c>
      <c r="B409" s="41">
        <f t="shared" si="25"/>
        <v>1</v>
      </c>
      <c r="C409" s="41" t="str">
        <f t="shared" si="26"/>
        <v/>
      </c>
      <c r="D409" s="41" t="str">
        <f t="shared" si="27"/>
        <v/>
      </c>
      <c r="E409" s="62"/>
      <c r="F409" s="1" t="s">
        <v>351</v>
      </c>
      <c r="G409" s="1">
        <v>408</v>
      </c>
      <c r="H409" s="4" t="s">
        <v>371</v>
      </c>
      <c r="I409" s="4" t="str">
        <f>IF(ISERROR(VLOOKUP(H409,#REF!,9,0)),"",VLOOKUP(H409,#REF!,9,0))</f>
        <v/>
      </c>
      <c r="J409" s="42"/>
      <c r="K409" s="1" t="s">
        <v>362</v>
      </c>
      <c r="L409" s="1" t="s">
        <v>522</v>
      </c>
      <c r="M409" s="43" t="s">
        <v>890</v>
      </c>
      <c r="N409" s="42"/>
      <c r="O409" s="43"/>
      <c r="P409" s="43"/>
      <c r="Q409" s="43"/>
      <c r="R409" s="43"/>
      <c r="S409" s="43"/>
      <c r="T409" s="43"/>
      <c r="U409" s="42"/>
    </row>
    <row r="410" spans="1:21" ht="21" customHeight="1" x14ac:dyDescent="0.3">
      <c r="A410" s="44" t="str">
        <f t="shared" si="24"/>
        <v>1</v>
      </c>
      <c r="B410" s="41">
        <f t="shared" si="25"/>
        <v>1</v>
      </c>
      <c r="C410" s="41" t="str">
        <f t="shared" si="26"/>
        <v/>
      </c>
      <c r="D410" s="41" t="str">
        <f t="shared" si="27"/>
        <v/>
      </c>
      <c r="E410" s="62"/>
      <c r="F410" s="1" t="s">
        <v>365</v>
      </c>
      <c r="G410" s="1">
        <v>409</v>
      </c>
      <c r="H410" s="4" t="s">
        <v>372</v>
      </c>
      <c r="I410" s="4" t="str">
        <f>IF(ISERROR(VLOOKUP(H410,#REF!,9,0)),"",VLOOKUP(H410,#REF!,9,0))</f>
        <v/>
      </c>
      <c r="J410" s="42"/>
      <c r="K410" s="1" t="s">
        <v>362</v>
      </c>
      <c r="L410" s="1" t="s">
        <v>522</v>
      </c>
      <c r="M410" s="43" t="s">
        <v>890</v>
      </c>
      <c r="N410" s="42"/>
      <c r="O410" s="43"/>
      <c r="P410" s="43"/>
      <c r="Q410" s="43"/>
      <c r="R410" s="43"/>
      <c r="S410" s="43"/>
      <c r="T410" s="43"/>
      <c r="U410" s="42"/>
    </row>
    <row r="411" spans="1:21" ht="21" customHeight="1" x14ac:dyDescent="0.3">
      <c r="A411" s="44" t="str">
        <f t="shared" si="24"/>
        <v>1</v>
      </c>
      <c r="B411" s="41">
        <f t="shared" si="25"/>
        <v>1</v>
      </c>
      <c r="C411" s="41" t="str">
        <f t="shared" si="26"/>
        <v/>
      </c>
      <c r="D411" s="41" t="str">
        <f t="shared" si="27"/>
        <v/>
      </c>
      <c r="E411" s="62"/>
      <c r="F411" s="1" t="s">
        <v>373</v>
      </c>
      <c r="G411" s="1">
        <v>410</v>
      </c>
      <c r="H411" s="4" t="s">
        <v>373</v>
      </c>
      <c r="I411" s="4" t="str">
        <f>IF(ISERROR(VLOOKUP(H411,#REF!,9,0)),"",VLOOKUP(H411,#REF!,9,0))</f>
        <v/>
      </c>
      <c r="J411" s="42"/>
      <c r="K411" s="1" t="s">
        <v>362</v>
      </c>
      <c r="L411" s="1" t="s">
        <v>522</v>
      </c>
      <c r="M411" s="43" t="s">
        <v>890</v>
      </c>
      <c r="N411" s="42"/>
      <c r="O411" s="43"/>
      <c r="P411" s="43"/>
      <c r="Q411" s="43"/>
      <c r="R411" s="43"/>
      <c r="S411" s="43"/>
      <c r="T411" s="43"/>
      <c r="U411" s="42"/>
    </row>
    <row r="412" spans="1:21" ht="21" customHeight="1" x14ac:dyDescent="0.3">
      <c r="A412" s="44" t="str">
        <f t="shared" si="24"/>
        <v>1</v>
      </c>
      <c r="B412" s="41">
        <f t="shared" si="25"/>
        <v>1</v>
      </c>
      <c r="C412" s="41" t="str">
        <f t="shared" si="26"/>
        <v/>
      </c>
      <c r="D412" s="41" t="str">
        <f t="shared" si="27"/>
        <v/>
      </c>
      <c r="E412" s="62"/>
      <c r="F412" s="1" t="s">
        <v>368</v>
      </c>
      <c r="G412" s="1">
        <v>411</v>
      </c>
      <c r="H412" s="4" t="s">
        <v>374</v>
      </c>
      <c r="I412" s="4" t="str">
        <f>IF(ISERROR(VLOOKUP(H412,#REF!,9,0)),"",VLOOKUP(H412,#REF!,9,0))</f>
        <v/>
      </c>
      <c r="J412" s="42"/>
      <c r="K412" s="1" t="s">
        <v>362</v>
      </c>
      <c r="L412" s="1" t="s">
        <v>522</v>
      </c>
      <c r="M412" s="43" t="s">
        <v>890</v>
      </c>
      <c r="N412" s="42"/>
      <c r="O412" s="43"/>
      <c r="P412" s="43"/>
      <c r="Q412" s="43"/>
      <c r="R412" s="43"/>
      <c r="S412" s="43"/>
      <c r="T412" s="43"/>
      <c r="U412" s="42"/>
    </row>
    <row r="413" spans="1:21" ht="21" customHeight="1" x14ac:dyDescent="0.3">
      <c r="A413" s="44" t="str">
        <f t="shared" si="24"/>
        <v>1</v>
      </c>
      <c r="B413" s="41">
        <f t="shared" si="25"/>
        <v>1</v>
      </c>
      <c r="C413" s="41" t="str">
        <f t="shared" si="26"/>
        <v/>
      </c>
      <c r="D413" s="41" t="str">
        <f t="shared" si="27"/>
        <v/>
      </c>
      <c r="E413" s="1" t="s">
        <v>39</v>
      </c>
      <c r="F413" s="1"/>
      <c r="G413" s="1">
        <v>412</v>
      </c>
      <c r="H413" s="4" t="s">
        <v>375</v>
      </c>
      <c r="I413" s="4" t="str">
        <f>IF(ISERROR(VLOOKUP(H413,#REF!,9,0)),"",VLOOKUP(H413,#REF!,9,0))</f>
        <v/>
      </c>
      <c r="J413" s="42"/>
      <c r="K413" s="1" t="s">
        <v>39</v>
      </c>
      <c r="L413" s="1" t="s">
        <v>522</v>
      </c>
      <c r="M413" s="43" t="s">
        <v>890</v>
      </c>
      <c r="N413" s="42"/>
      <c r="O413" s="43"/>
      <c r="P413" s="43"/>
      <c r="Q413" s="43"/>
      <c r="R413" s="43"/>
      <c r="S413" s="43"/>
      <c r="T413" s="43"/>
      <c r="U413" s="42"/>
    </row>
    <row r="414" spans="1:21" ht="21" customHeight="1" x14ac:dyDescent="0.3">
      <c r="A414" s="44" t="str">
        <f t="shared" si="24"/>
        <v>1</v>
      </c>
      <c r="B414" s="41">
        <f t="shared" si="25"/>
        <v>1</v>
      </c>
      <c r="C414" s="41" t="str">
        <f t="shared" si="26"/>
        <v/>
      </c>
      <c r="D414" s="41" t="str">
        <f t="shared" si="27"/>
        <v/>
      </c>
      <c r="E414" s="62" t="s">
        <v>376</v>
      </c>
      <c r="F414" s="1" t="s">
        <v>377</v>
      </c>
      <c r="G414" s="1">
        <v>413</v>
      </c>
      <c r="H414" s="4" t="s">
        <v>378</v>
      </c>
      <c r="I414" s="4" t="str">
        <f>IF(ISERROR(VLOOKUP(H414,#REF!,9,0)),"",VLOOKUP(H414,#REF!,9,0))</f>
        <v/>
      </c>
      <c r="J414" s="42"/>
      <c r="K414" s="1" t="s">
        <v>376</v>
      </c>
      <c r="L414" s="1" t="s">
        <v>522</v>
      </c>
      <c r="M414" s="43">
        <v>2022</v>
      </c>
      <c r="N414" s="42"/>
      <c r="O414" s="43" t="s">
        <v>10</v>
      </c>
      <c r="P414" s="43"/>
      <c r="Q414" s="43"/>
      <c r="R414" s="43"/>
      <c r="S414" s="43"/>
      <c r="T414" s="43"/>
      <c r="U414" s="42"/>
    </row>
    <row r="415" spans="1:21" ht="21" customHeight="1" x14ac:dyDescent="0.3">
      <c r="A415" s="44" t="str">
        <f t="shared" si="24"/>
        <v>11</v>
      </c>
      <c r="B415" s="41">
        <f t="shared" si="25"/>
        <v>1</v>
      </c>
      <c r="C415" s="41" t="str">
        <f t="shared" si="26"/>
        <v/>
      </c>
      <c r="D415" s="41">
        <f t="shared" si="27"/>
        <v>1</v>
      </c>
      <c r="E415" s="62"/>
      <c r="F415" s="1" t="s">
        <v>399</v>
      </c>
      <c r="G415" s="1">
        <v>414</v>
      </c>
      <c r="H415" s="4" t="s">
        <v>891</v>
      </c>
      <c r="I415" s="4" t="str">
        <f>IF(ISERROR(VLOOKUP(H415,#REF!,9,0)),"",VLOOKUP(H415,#REF!,9,0))</f>
        <v/>
      </c>
      <c r="J415" s="42" t="s">
        <v>891</v>
      </c>
      <c r="K415" s="1" t="s">
        <v>376</v>
      </c>
      <c r="L415" s="1" t="s">
        <v>47</v>
      </c>
      <c r="M415" s="43">
        <v>2022</v>
      </c>
      <c r="N415" s="42"/>
      <c r="O415" s="43" t="s">
        <v>10</v>
      </c>
      <c r="P415" s="43"/>
      <c r="Q415" s="43"/>
      <c r="R415" s="43"/>
      <c r="S415" s="43"/>
      <c r="T415" s="43"/>
      <c r="U415" s="42"/>
    </row>
    <row r="416" spans="1:21" ht="21" customHeight="1" x14ac:dyDescent="0.3">
      <c r="A416" s="44" t="str">
        <f t="shared" si="24"/>
        <v>11</v>
      </c>
      <c r="B416" s="41">
        <f t="shared" si="25"/>
        <v>1</v>
      </c>
      <c r="C416" s="41" t="str">
        <f t="shared" si="26"/>
        <v/>
      </c>
      <c r="D416" s="41">
        <f t="shared" si="27"/>
        <v>1</v>
      </c>
      <c r="E416" s="62"/>
      <c r="F416" s="1" t="s">
        <v>394</v>
      </c>
      <c r="G416" s="1">
        <v>415</v>
      </c>
      <c r="H416" s="4" t="s">
        <v>892</v>
      </c>
      <c r="I416" s="4" t="str">
        <f>IF(ISERROR(VLOOKUP(H416,#REF!,9,0)),"",VLOOKUP(H416,#REF!,9,0))</f>
        <v/>
      </c>
      <c r="J416" s="42" t="s">
        <v>893</v>
      </c>
      <c r="K416" s="1" t="s">
        <v>376</v>
      </c>
      <c r="L416" s="1" t="s">
        <v>47</v>
      </c>
      <c r="M416" s="43">
        <v>2022</v>
      </c>
      <c r="N416" s="42"/>
      <c r="O416" s="43" t="s">
        <v>10</v>
      </c>
      <c r="P416" s="43"/>
      <c r="Q416" s="43"/>
      <c r="R416" s="43"/>
      <c r="S416" s="43"/>
      <c r="T416" s="43"/>
      <c r="U416" s="42"/>
    </row>
    <row r="417" spans="1:21" ht="21" customHeight="1" x14ac:dyDescent="0.3">
      <c r="A417" s="44" t="str">
        <f t="shared" si="24"/>
        <v>11</v>
      </c>
      <c r="B417" s="41">
        <f t="shared" si="25"/>
        <v>1</v>
      </c>
      <c r="C417" s="41" t="str">
        <f t="shared" si="26"/>
        <v/>
      </c>
      <c r="D417" s="41">
        <f t="shared" si="27"/>
        <v>1</v>
      </c>
      <c r="E417" s="62"/>
      <c r="F417" s="1" t="s">
        <v>394</v>
      </c>
      <c r="G417" s="1">
        <v>416</v>
      </c>
      <c r="H417" s="4" t="s">
        <v>716</v>
      </c>
      <c r="I417" s="4" t="str">
        <f>IF(ISERROR(VLOOKUP(H417,#REF!,9,0)),"",VLOOKUP(H417,#REF!,9,0))</f>
        <v/>
      </c>
      <c r="J417" s="42" t="s">
        <v>716</v>
      </c>
      <c r="K417" s="1" t="s">
        <v>376</v>
      </c>
      <c r="L417" s="1" t="s">
        <v>47</v>
      </c>
      <c r="M417" s="43">
        <v>2022</v>
      </c>
      <c r="N417" s="42"/>
      <c r="O417" s="43" t="s">
        <v>10</v>
      </c>
      <c r="P417" s="43"/>
      <c r="Q417" s="43"/>
      <c r="R417" s="43"/>
      <c r="S417" s="43"/>
      <c r="T417" s="43"/>
      <c r="U417" s="42"/>
    </row>
    <row r="418" spans="1:21" ht="21" customHeight="1" x14ac:dyDescent="0.3">
      <c r="A418" s="44" t="str">
        <f t="shared" si="24"/>
        <v>11</v>
      </c>
      <c r="B418" s="41">
        <f t="shared" si="25"/>
        <v>1</v>
      </c>
      <c r="C418" s="41" t="str">
        <f t="shared" si="26"/>
        <v/>
      </c>
      <c r="D418" s="41">
        <f t="shared" si="27"/>
        <v>1</v>
      </c>
      <c r="E418" s="62"/>
      <c r="F418" s="1" t="s">
        <v>394</v>
      </c>
      <c r="G418" s="1">
        <v>417</v>
      </c>
      <c r="H418" s="4" t="s">
        <v>718</v>
      </c>
      <c r="I418" s="4" t="str">
        <f>IF(ISERROR(VLOOKUP(H418,#REF!,9,0)),"",VLOOKUP(H418,#REF!,9,0))</f>
        <v/>
      </c>
      <c r="J418" s="42" t="s">
        <v>894</v>
      </c>
      <c r="K418" s="1" t="s">
        <v>376</v>
      </c>
      <c r="L418" s="1" t="s">
        <v>47</v>
      </c>
      <c r="M418" s="43">
        <v>2022</v>
      </c>
      <c r="N418" s="42"/>
      <c r="O418" s="43" t="s">
        <v>10</v>
      </c>
      <c r="P418" s="43"/>
      <c r="Q418" s="43"/>
      <c r="R418" s="43"/>
      <c r="S418" s="43"/>
      <c r="T418" s="43"/>
      <c r="U418" s="42"/>
    </row>
    <row r="419" spans="1:21" ht="21" customHeight="1" x14ac:dyDescent="0.3">
      <c r="A419" s="44" t="str">
        <f t="shared" si="24"/>
        <v>1</v>
      </c>
      <c r="B419" s="41">
        <f t="shared" si="25"/>
        <v>1</v>
      </c>
      <c r="C419" s="41" t="str">
        <f t="shared" si="26"/>
        <v/>
      </c>
      <c r="D419" s="41" t="str">
        <f t="shared" si="27"/>
        <v/>
      </c>
      <c r="E419" s="62"/>
      <c r="F419" s="1" t="s">
        <v>377</v>
      </c>
      <c r="G419" s="1">
        <v>418</v>
      </c>
      <c r="H419" s="4" t="s">
        <v>380</v>
      </c>
      <c r="I419" s="4" t="str">
        <f>IF(ISERROR(VLOOKUP(H419,#REF!,9,0)),"",VLOOKUP(H419,#REF!,9,0))</f>
        <v/>
      </c>
      <c r="J419" s="42"/>
      <c r="K419" s="1" t="s">
        <v>376</v>
      </c>
      <c r="L419" s="1" t="s">
        <v>522</v>
      </c>
      <c r="M419" s="43">
        <v>2022</v>
      </c>
      <c r="N419" s="42"/>
      <c r="O419" s="43" t="s">
        <v>10</v>
      </c>
      <c r="P419" s="43"/>
      <c r="Q419" s="43"/>
      <c r="R419" s="43"/>
      <c r="S419" s="43"/>
      <c r="T419" s="43"/>
      <c r="U419" s="42"/>
    </row>
    <row r="420" spans="1:21" ht="21" customHeight="1" x14ac:dyDescent="0.3">
      <c r="A420" s="44" t="str">
        <f t="shared" si="24"/>
        <v>1</v>
      </c>
      <c r="B420" s="41">
        <f t="shared" si="25"/>
        <v>1</v>
      </c>
      <c r="C420" s="41" t="str">
        <f t="shared" si="26"/>
        <v/>
      </c>
      <c r="D420" s="41" t="str">
        <f t="shared" si="27"/>
        <v/>
      </c>
      <c r="E420" s="62"/>
      <c r="F420" s="1" t="s">
        <v>377</v>
      </c>
      <c r="G420" s="1">
        <v>419</v>
      </c>
      <c r="H420" s="4" t="s">
        <v>382</v>
      </c>
      <c r="I420" s="4" t="str">
        <f>IF(ISERROR(VLOOKUP(H420,#REF!,9,0)),"",VLOOKUP(H420,#REF!,9,0))</f>
        <v/>
      </c>
      <c r="J420" s="42"/>
      <c r="K420" s="1" t="s">
        <v>376</v>
      </c>
      <c r="L420" s="1" t="s">
        <v>522</v>
      </c>
      <c r="M420" s="43">
        <v>2022</v>
      </c>
      <c r="N420" s="42"/>
      <c r="O420" s="43" t="s">
        <v>10</v>
      </c>
      <c r="P420" s="43"/>
      <c r="Q420" s="43"/>
      <c r="R420" s="43"/>
      <c r="S420" s="43"/>
      <c r="T420" s="43"/>
      <c r="U420" s="42"/>
    </row>
    <row r="421" spans="1:21" ht="21" customHeight="1" x14ac:dyDescent="0.3">
      <c r="A421" s="44" t="str">
        <f t="shared" si="24"/>
        <v>1</v>
      </c>
      <c r="B421" s="41">
        <f t="shared" si="25"/>
        <v>1</v>
      </c>
      <c r="C421" s="41" t="str">
        <f t="shared" si="26"/>
        <v/>
      </c>
      <c r="D421" s="41" t="str">
        <f t="shared" si="27"/>
        <v/>
      </c>
      <c r="E421" s="62"/>
      <c r="F421" s="1" t="s">
        <v>377</v>
      </c>
      <c r="G421" s="1">
        <v>420</v>
      </c>
      <c r="H421" s="4" t="s">
        <v>384</v>
      </c>
      <c r="I421" s="4" t="str">
        <f>IF(ISERROR(VLOOKUP(H421,#REF!,9,0)),"",VLOOKUP(H421,#REF!,9,0))</f>
        <v/>
      </c>
      <c r="J421" s="42"/>
      <c r="K421" s="1" t="s">
        <v>376</v>
      </c>
      <c r="L421" s="1" t="s">
        <v>522</v>
      </c>
      <c r="M421" s="43">
        <v>2022</v>
      </c>
      <c r="N421" s="42"/>
      <c r="O421" s="43" t="s">
        <v>10</v>
      </c>
      <c r="P421" s="43"/>
      <c r="Q421" s="43"/>
      <c r="R421" s="43"/>
      <c r="S421" s="43"/>
      <c r="T421" s="43"/>
      <c r="U421" s="42"/>
    </row>
    <row r="422" spans="1:21" ht="21" customHeight="1" x14ac:dyDescent="0.3">
      <c r="A422" s="44" t="str">
        <f t="shared" si="24"/>
        <v>1</v>
      </c>
      <c r="B422" s="41">
        <f t="shared" si="25"/>
        <v>1</v>
      </c>
      <c r="C422" s="41" t="str">
        <f t="shared" si="26"/>
        <v/>
      </c>
      <c r="D422" s="41" t="str">
        <f t="shared" si="27"/>
        <v/>
      </c>
      <c r="E422" s="62"/>
      <c r="F422" s="1" t="s">
        <v>377</v>
      </c>
      <c r="G422" s="1">
        <v>421</v>
      </c>
      <c r="H422" s="4" t="s">
        <v>386</v>
      </c>
      <c r="I422" s="4" t="str">
        <f>IF(ISERROR(VLOOKUP(H422,#REF!,9,0)),"",VLOOKUP(H422,#REF!,9,0))</f>
        <v/>
      </c>
      <c r="J422" s="42"/>
      <c r="K422" s="1" t="s">
        <v>376</v>
      </c>
      <c r="L422" s="1" t="s">
        <v>522</v>
      </c>
      <c r="M422" s="43">
        <v>2022</v>
      </c>
      <c r="N422" s="42"/>
      <c r="O422" s="43" t="s">
        <v>10</v>
      </c>
      <c r="P422" s="43"/>
      <c r="Q422" s="43"/>
      <c r="R422" s="43"/>
      <c r="S422" s="43"/>
      <c r="T422" s="43"/>
      <c r="U422" s="42"/>
    </row>
    <row r="423" spans="1:21" ht="21" customHeight="1" x14ac:dyDescent="0.3">
      <c r="A423" s="44" t="str">
        <f t="shared" si="24"/>
        <v>1</v>
      </c>
      <c r="B423" s="41">
        <f t="shared" si="25"/>
        <v>1</v>
      </c>
      <c r="C423" s="41" t="str">
        <f t="shared" si="26"/>
        <v/>
      </c>
      <c r="D423" s="41" t="str">
        <f t="shared" si="27"/>
        <v/>
      </c>
      <c r="E423" s="62"/>
      <c r="F423" s="1" t="s">
        <v>377</v>
      </c>
      <c r="G423" s="1">
        <v>422</v>
      </c>
      <c r="H423" s="4" t="s">
        <v>388</v>
      </c>
      <c r="I423" s="4" t="str">
        <f>IF(ISERROR(VLOOKUP(H423,#REF!,9,0)),"",VLOOKUP(H423,#REF!,9,0))</f>
        <v/>
      </c>
      <c r="J423" s="42"/>
      <c r="K423" s="1" t="s">
        <v>376</v>
      </c>
      <c r="L423" s="1" t="s">
        <v>522</v>
      </c>
      <c r="M423" s="43">
        <v>2022</v>
      </c>
      <c r="N423" s="42"/>
      <c r="O423" s="43" t="s">
        <v>10</v>
      </c>
      <c r="P423" s="43"/>
      <c r="Q423" s="43"/>
      <c r="R423" s="43"/>
      <c r="S423" s="43"/>
      <c r="T423" s="43"/>
      <c r="U423" s="42"/>
    </row>
    <row r="424" spans="1:21" ht="21" customHeight="1" x14ac:dyDescent="0.3">
      <c r="A424" s="44" t="str">
        <f t="shared" si="24"/>
        <v>1</v>
      </c>
      <c r="B424" s="41">
        <f t="shared" si="25"/>
        <v>1</v>
      </c>
      <c r="C424" s="41" t="str">
        <f t="shared" si="26"/>
        <v/>
      </c>
      <c r="D424" s="41" t="str">
        <f t="shared" si="27"/>
        <v/>
      </c>
      <c r="E424" s="62"/>
      <c r="F424" s="1" t="s">
        <v>377</v>
      </c>
      <c r="G424" s="1">
        <v>423</v>
      </c>
      <c r="H424" s="4" t="s">
        <v>390</v>
      </c>
      <c r="I424" s="4" t="str">
        <f>IF(ISERROR(VLOOKUP(H424,#REF!,9,0)),"",VLOOKUP(H424,#REF!,9,0))</f>
        <v/>
      </c>
      <c r="J424" s="42"/>
      <c r="K424" s="1" t="s">
        <v>376</v>
      </c>
      <c r="L424" s="1" t="s">
        <v>522</v>
      </c>
      <c r="M424" s="43">
        <v>2022</v>
      </c>
      <c r="N424" s="42"/>
      <c r="O424" s="43" t="s">
        <v>10</v>
      </c>
      <c r="P424" s="43"/>
      <c r="Q424" s="43"/>
      <c r="R424" s="43"/>
      <c r="S424" s="43"/>
      <c r="T424" s="43"/>
      <c r="U424" s="42"/>
    </row>
    <row r="425" spans="1:21" ht="21" customHeight="1" x14ac:dyDescent="0.3">
      <c r="A425" s="44" t="str">
        <f t="shared" si="24"/>
        <v>1</v>
      </c>
      <c r="B425" s="41">
        <f t="shared" si="25"/>
        <v>1</v>
      </c>
      <c r="C425" s="41" t="str">
        <f t="shared" si="26"/>
        <v/>
      </c>
      <c r="D425" s="41" t="str">
        <f t="shared" si="27"/>
        <v/>
      </c>
      <c r="E425" s="62"/>
      <c r="F425" s="1" t="s">
        <v>377</v>
      </c>
      <c r="G425" s="1">
        <v>424</v>
      </c>
      <c r="H425" s="4" t="s">
        <v>392</v>
      </c>
      <c r="I425" s="4" t="str">
        <f>IF(ISERROR(VLOOKUP(H425,#REF!,9,0)),"",VLOOKUP(H425,#REF!,9,0))</f>
        <v/>
      </c>
      <c r="J425" s="42"/>
      <c r="K425" s="1" t="s">
        <v>376</v>
      </c>
      <c r="L425" s="1" t="s">
        <v>522</v>
      </c>
      <c r="M425" s="43">
        <v>2022</v>
      </c>
      <c r="N425" s="42"/>
      <c r="O425" s="43" t="s">
        <v>10</v>
      </c>
      <c r="P425" s="43"/>
      <c r="Q425" s="43"/>
      <c r="R425" s="43"/>
      <c r="S425" s="43"/>
      <c r="T425" s="43"/>
      <c r="U425" s="42"/>
    </row>
    <row r="426" spans="1:21" ht="21" customHeight="1" x14ac:dyDescent="0.3">
      <c r="A426" s="44" t="str">
        <f t="shared" si="24"/>
        <v>1</v>
      </c>
      <c r="B426" s="41">
        <f t="shared" si="25"/>
        <v>1</v>
      </c>
      <c r="C426" s="41" t="str">
        <f t="shared" si="26"/>
        <v/>
      </c>
      <c r="D426" s="41" t="str">
        <f t="shared" si="27"/>
        <v/>
      </c>
      <c r="E426" s="62"/>
      <c r="F426" s="1" t="s">
        <v>394</v>
      </c>
      <c r="G426" s="1">
        <v>425</v>
      </c>
      <c r="H426" s="4" t="s">
        <v>323</v>
      </c>
      <c r="I426" s="4" t="str">
        <f>IF(ISERROR(VLOOKUP(H426,#REF!,9,0)),"",VLOOKUP(H426,#REF!,9,0))</f>
        <v/>
      </c>
      <c r="J426" s="4"/>
      <c r="K426" s="1" t="s">
        <v>376</v>
      </c>
      <c r="L426" s="1" t="s">
        <v>522</v>
      </c>
      <c r="M426" s="43">
        <v>2022</v>
      </c>
      <c r="N426" s="42"/>
      <c r="O426" s="43" t="s">
        <v>10</v>
      </c>
      <c r="P426" s="43"/>
      <c r="Q426" s="43"/>
      <c r="R426" s="43"/>
      <c r="S426" s="43"/>
      <c r="T426" s="43"/>
      <c r="U426" s="42"/>
    </row>
    <row r="427" spans="1:21" ht="21" customHeight="1" x14ac:dyDescent="0.3">
      <c r="A427" s="44" t="str">
        <f t="shared" si="24"/>
        <v>11</v>
      </c>
      <c r="B427" s="41">
        <f t="shared" si="25"/>
        <v>1</v>
      </c>
      <c r="C427" s="41" t="str">
        <f t="shared" si="26"/>
        <v/>
      </c>
      <c r="D427" s="41">
        <f t="shared" si="27"/>
        <v>1</v>
      </c>
      <c r="E427" s="62"/>
      <c r="F427" s="1" t="s">
        <v>394</v>
      </c>
      <c r="G427" s="1">
        <v>426</v>
      </c>
      <c r="H427" s="4" t="s">
        <v>895</v>
      </c>
      <c r="I427" s="4" t="str">
        <f>IF(ISERROR(VLOOKUP(H427,#REF!,9,0)),"",VLOOKUP(H427,#REF!,9,0))</f>
        <v/>
      </c>
      <c r="J427" s="42" t="s">
        <v>896</v>
      </c>
      <c r="K427" s="1" t="s">
        <v>376</v>
      </c>
      <c r="L427" s="1" t="s">
        <v>47</v>
      </c>
      <c r="M427" s="43">
        <v>2022</v>
      </c>
      <c r="N427" s="42"/>
      <c r="O427" s="43" t="s">
        <v>10</v>
      </c>
      <c r="P427" s="43"/>
      <c r="Q427" s="43"/>
      <c r="R427" s="43"/>
      <c r="S427" s="43"/>
      <c r="T427" s="43"/>
      <c r="U427" s="42"/>
    </row>
    <row r="428" spans="1:21" ht="21" customHeight="1" x14ac:dyDescent="0.3">
      <c r="A428" s="44" t="str">
        <f t="shared" si="24"/>
        <v>11</v>
      </c>
      <c r="B428" s="41">
        <f t="shared" si="25"/>
        <v>1</v>
      </c>
      <c r="C428" s="41" t="str">
        <f t="shared" si="26"/>
        <v/>
      </c>
      <c r="D428" s="41">
        <f t="shared" si="27"/>
        <v>1</v>
      </c>
      <c r="E428" s="62"/>
      <c r="F428" s="1" t="s">
        <v>394</v>
      </c>
      <c r="G428" s="1">
        <v>427</v>
      </c>
      <c r="H428" s="4" t="s">
        <v>897</v>
      </c>
      <c r="I428" s="4" t="str">
        <f>IF(ISERROR(VLOOKUP(H428,#REF!,9,0)),"",VLOOKUP(H428,#REF!,9,0))</f>
        <v/>
      </c>
      <c r="J428" s="42" t="s">
        <v>898</v>
      </c>
      <c r="K428" s="1" t="s">
        <v>376</v>
      </c>
      <c r="L428" s="1" t="s">
        <v>47</v>
      </c>
      <c r="M428" s="43">
        <v>2022</v>
      </c>
      <c r="N428" s="42"/>
      <c r="O428" s="43" t="s">
        <v>10</v>
      </c>
      <c r="P428" s="43"/>
      <c r="Q428" s="43"/>
      <c r="R428" s="43"/>
      <c r="S428" s="43"/>
      <c r="T428" s="43"/>
      <c r="U428" s="42"/>
    </row>
    <row r="429" spans="1:21" ht="21" customHeight="1" x14ac:dyDescent="0.3">
      <c r="A429" s="44" t="str">
        <f t="shared" si="24"/>
        <v>1</v>
      </c>
      <c r="B429" s="41">
        <f t="shared" si="25"/>
        <v>1</v>
      </c>
      <c r="C429" s="41" t="str">
        <f t="shared" si="26"/>
        <v/>
      </c>
      <c r="D429" s="41" t="str">
        <f t="shared" si="27"/>
        <v/>
      </c>
      <c r="E429" s="62"/>
      <c r="F429" s="1" t="s">
        <v>377</v>
      </c>
      <c r="G429" s="1">
        <v>428</v>
      </c>
      <c r="H429" s="4" t="s">
        <v>396</v>
      </c>
      <c r="I429" s="4" t="str">
        <f>IF(ISERROR(VLOOKUP(H429,#REF!,9,0)),"",VLOOKUP(H429,#REF!,9,0))</f>
        <v/>
      </c>
      <c r="J429" s="42"/>
      <c r="K429" s="1" t="s">
        <v>376</v>
      </c>
      <c r="L429" s="1" t="s">
        <v>522</v>
      </c>
      <c r="M429" s="43">
        <v>2022</v>
      </c>
      <c r="N429" s="42"/>
      <c r="O429" s="43" t="s">
        <v>10</v>
      </c>
      <c r="P429" s="43"/>
      <c r="Q429" s="43"/>
      <c r="R429" s="43"/>
      <c r="S429" s="43"/>
      <c r="T429" s="43"/>
      <c r="U429" s="42"/>
    </row>
    <row r="430" spans="1:21" ht="21" customHeight="1" x14ac:dyDescent="0.3">
      <c r="A430" s="44" t="str">
        <f t="shared" si="24"/>
        <v>11</v>
      </c>
      <c r="B430" s="41">
        <f t="shared" si="25"/>
        <v>1</v>
      </c>
      <c r="C430" s="41" t="str">
        <f t="shared" si="26"/>
        <v/>
      </c>
      <c r="D430" s="41">
        <f t="shared" si="27"/>
        <v>1</v>
      </c>
      <c r="E430" s="62"/>
      <c r="F430" s="1" t="s">
        <v>394</v>
      </c>
      <c r="G430" s="1">
        <v>429</v>
      </c>
      <c r="H430" s="4" t="s">
        <v>899</v>
      </c>
      <c r="I430" s="4" t="str">
        <f>IF(ISERROR(VLOOKUP(H430,#REF!,9,0)),"",VLOOKUP(H430,#REF!,9,0))</f>
        <v/>
      </c>
      <c r="J430" s="42" t="s">
        <v>900</v>
      </c>
      <c r="K430" s="1" t="s">
        <v>376</v>
      </c>
      <c r="L430" s="1" t="s">
        <v>47</v>
      </c>
      <c r="M430" s="43">
        <v>2022</v>
      </c>
      <c r="N430" s="42"/>
      <c r="O430" s="43" t="s">
        <v>10</v>
      </c>
      <c r="P430" s="43"/>
      <c r="Q430" s="43"/>
      <c r="R430" s="43"/>
      <c r="S430" s="43"/>
      <c r="T430" s="43"/>
      <c r="U430" s="42"/>
    </row>
    <row r="431" spans="1:21" ht="21" customHeight="1" x14ac:dyDescent="0.3">
      <c r="A431" s="44" t="str">
        <f t="shared" si="24"/>
        <v>1</v>
      </c>
      <c r="B431" s="41">
        <f t="shared" si="25"/>
        <v>1</v>
      </c>
      <c r="C431" s="41" t="str">
        <f t="shared" si="26"/>
        <v/>
      </c>
      <c r="D431" s="41" t="str">
        <f t="shared" si="27"/>
        <v/>
      </c>
      <c r="E431" s="62"/>
      <c r="F431" s="1" t="s">
        <v>394</v>
      </c>
      <c r="G431" s="1">
        <v>430</v>
      </c>
      <c r="H431" s="4" t="s">
        <v>398</v>
      </c>
      <c r="I431" s="4" t="str">
        <f>IF(ISERROR(VLOOKUP(H431,#REF!,9,0)),"",VLOOKUP(H431,#REF!,9,0))</f>
        <v/>
      </c>
      <c r="J431" s="42"/>
      <c r="K431" s="1" t="s">
        <v>376</v>
      </c>
      <c r="L431" s="1" t="s">
        <v>522</v>
      </c>
      <c r="M431" s="43" t="s">
        <v>565</v>
      </c>
      <c r="N431" s="42" t="s">
        <v>901</v>
      </c>
      <c r="O431" s="43" t="s">
        <v>88</v>
      </c>
      <c r="P431" s="43" t="s">
        <v>72</v>
      </c>
      <c r="Q431" s="43"/>
      <c r="R431" s="43"/>
      <c r="S431" s="43"/>
      <c r="T431" s="43"/>
      <c r="U431" s="42"/>
    </row>
    <row r="432" spans="1:21" ht="21" customHeight="1" x14ac:dyDescent="0.3">
      <c r="A432" s="44" t="str">
        <f t="shared" si="24"/>
        <v>1</v>
      </c>
      <c r="B432" s="41">
        <f t="shared" si="25"/>
        <v>1</v>
      </c>
      <c r="C432" s="41" t="str">
        <f t="shared" si="26"/>
        <v/>
      </c>
      <c r="D432" s="41" t="str">
        <f t="shared" si="27"/>
        <v/>
      </c>
      <c r="E432" s="62"/>
      <c r="F432" s="1" t="s">
        <v>399</v>
      </c>
      <c r="G432" s="1">
        <v>431</v>
      </c>
      <c r="H432" s="4" t="s">
        <v>400</v>
      </c>
      <c r="I432" s="4" t="str">
        <f>IF(ISERROR(VLOOKUP(H432,#REF!,9,0)),"",VLOOKUP(H432,#REF!,9,0))</f>
        <v/>
      </c>
      <c r="J432" s="42"/>
      <c r="K432" s="1" t="s">
        <v>376</v>
      </c>
      <c r="L432" s="1" t="s">
        <v>522</v>
      </c>
      <c r="M432" s="43">
        <v>2022</v>
      </c>
      <c r="N432" s="42"/>
      <c r="O432" s="43" t="s">
        <v>10</v>
      </c>
      <c r="P432" s="43"/>
      <c r="Q432" s="43"/>
      <c r="R432" s="43"/>
      <c r="S432" s="43"/>
      <c r="T432" s="43"/>
      <c r="U432" s="42"/>
    </row>
    <row r="433" spans="1:21" ht="21" customHeight="1" x14ac:dyDescent="0.3">
      <c r="A433" s="44" t="str">
        <f t="shared" si="24"/>
        <v>11</v>
      </c>
      <c r="B433" s="41">
        <f t="shared" si="25"/>
        <v>1</v>
      </c>
      <c r="C433" s="41" t="str">
        <f t="shared" si="26"/>
        <v/>
      </c>
      <c r="D433" s="41">
        <f t="shared" si="27"/>
        <v>1</v>
      </c>
      <c r="E433" s="62"/>
      <c r="F433" s="1" t="s">
        <v>394</v>
      </c>
      <c r="G433" s="1">
        <v>432</v>
      </c>
      <c r="H433" s="4" t="s">
        <v>902</v>
      </c>
      <c r="I433" s="4" t="str">
        <f>IF(ISERROR(VLOOKUP(H433,#REF!,9,0)),"",VLOOKUP(H433,#REF!,9,0))</f>
        <v/>
      </c>
      <c r="J433" s="42" t="s">
        <v>896</v>
      </c>
      <c r="K433" s="1" t="s">
        <v>376</v>
      </c>
      <c r="L433" s="1" t="s">
        <v>47</v>
      </c>
      <c r="M433" s="43">
        <v>2022</v>
      </c>
      <c r="N433" s="42"/>
      <c r="O433" s="43" t="s">
        <v>10</v>
      </c>
      <c r="P433" s="43"/>
      <c r="Q433" s="43"/>
      <c r="R433" s="43"/>
      <c r="S433" s="43"/>
      <c r="T433" s="43"/>
      <c r="U433" s="42"/>
    </row>
    <row r="434" spans="1:21" ht="21" customHeight="1" x14ac:dyDescent="0.3">
      <c r="A434" s="44" t="str">
        <f t="shared" si="24"/>
        <v>1</v>
      </c>
      <c r="B434" s="41">
        <f t="shared" si="25"/>
        <v>1</v>
      </c>
      <c r="C434" s="41" t="str">
        <f t="shared" si="26"/>
        <v/>
      </c>
      <c r="D434" s="41" t="str">
        <f t="shared" si="27"/>
        <v/>
      </c>
      <c r="E434" s="62"/>
      <c r="F434" s="1" t="s">
        <v>394</v>
      </c>
      <c r="G434" s="1">
        <v>433</v>
      </c>
      <c r="H434" s="4" t="s">
        <v>402</v>
      </c>
      <c r="I434" s="4" t="str">
        <f>IF(ISERROR(VLOOKUP(H434,#REF!,9,0)),"",VLOOKUP(H434,#REF!,9,0))</f>
        <v/>
      </c>
      <c r="J434" s="42"/>
      <c r="K434" s="1" t="s">
        <v>376</v>
      </c>
      <c r="L434" s="1" t="s">
        <v>521</v>
      </c>
      <c r="M434" s="43">
        <v>2022</v>
      </c>
      <c r="N434" s="42"/>
      <c r="O434" s="43" t="s">
        <v>10</v>
      </c>
      <c r="P434" s="43"/>
      <c r="Q434" s="43"/>
      <c r="R434" s="43"/>
      <c r="S434" s="43"/>
      <c r="T434" s="43"/>
      <c r="U434" s="42"/>
    </row>
    <row r="435" spans="1:21" ht="21" customHeight="1" x14ac:dyDescent="0.3">
      <c r="A435" s="44" t="str">
        <f t="shared" si="24"/>
        <v>1</v>
      </c>
      <c r="B435" s="41">
        <f t="shared" si="25"/>
        <v>1</v>
      </c>
      <c r="C435" s="41" t="str">
        <f t="shared" si="26"/>
        <v/>
      </c>
      <c r="D435" s="41" t="str">
        <f t="shared" si="27"/>
        <v/>
      </c>
      <c r="E435" s="62"/>
      <c r="F435" s="1" t="s">
        <v>394</v>
      </c>
      <c r="G435" s="1">
        <v>434</v>
      </c>
      <c r="H435" s="4" t="s">
        <v>404</v>
      </c>
      <c r="I435" s="4" t="str">
        <f>IF(ISERROR(VLOOKUP(H435,#REF!,9,0)),"",VLOOKUP(H435,#REF!,9,0))</f>
        <v/>
      </c>
      <c r="J435" s="42"/>
      <c r="K435" s="1" t="s">
        <v>376</v>
      </c>
      <c r="L435" s="1" t="s">
        <v>521</v>
      </c>
      <c r="M435" s="43">
        <v>2022</v>
      </c>
      <c r="N435" s="42"/>
      <c r="O435" s="43" t="s">
        <v>10</v>
      </c>
      <c r="P435" s="43"/>
      <c r="Q435" s="43"/>
      <c r="R435" s="43"/>
      <c r="S435" s="43"/>
      <c r="T435" s="43"/>
      <c r="U435" s="42"/>
    </row>
    <row r="436" spans="1:21" ht="21" customHeight="1" x14ac:dyDescent="0.3">
      <c r="A436" s="44" t="str">
        <f t="shared" si="24"/>
        <v>1</v>
      </c>
      <c r="B436" s="41">
        <f t="shared" si="25"/>
        <v>1</v>
      </c>
      <c r="C436" s="41" t="str">
        <f t="shared" si="26"/>
        <v/>
      </c>
      <c r="D436" s="41" t="str">
        <f t="shared" si="27"/>
        <v/>
      </c>
      <c r="E436" s="62"/>
      <c r="F436" s="1" t="s">
        <v>377</v>
      </c>
      <c r="G436" s="1">
        <v>435</v>
      </c>
      <c r="H436" s="4" t="s">
        <v>406</v>
      </c>
      <c r="I436" s="4" t="str">
        <f>IF(ISERROR(VLOOKUP(H436,#REF!,9,0)),"",VLOOKUP(H436,#REF!,9,0))</f>
        <v/>
      </c>
      <c r="J436" s="42"/>
      <c r="K436" s="1" t="s">
        <v>376</v>
      </c>
      <c r="L436" s="1" t="s">
        <v>522</v>
      </c>
      <c r="M436" s="43">
        <v>2022</v>
      </c>
      <c r="N436" s="42"/>
      <c r="O436" s="43" t="s">
        <v>10</v>
      </c>
      <c r="P436" s="43"/>
      <c r="Q436" s="43"/>
      <c r="R436" s="43"/>
      <c r="S436" s="43"/>
      <c r="T436" s="43"/>
      <c r="U436" s="42"/>
    </row>
    <row r="437" spans="1:21" ht="21" customHeight="1" x14ac:dyDescent="0.3">
      <c r="A437" s="44" t="str">
        <f t="shared" si="24"/>
        <v>11</v>
      </c>
      <c r="B437" s="41">
        <f t="shared" si="25"/>
        <v>1</v>
      </c>
      <c r="C437" s="41" t="str">
        <f t="shared" si="26"/>
        <v/>
      </c>
      <c r="D437" s="41">
        <f t="shared" si="27"/>
        <v>1</v>
      </c>
      <c r="E437" s="62"/>
      <c r="F437" s="1" t="s">
        <v>903</v>
      </c>
      <c r="G437" s="1">
        <v>436</v>
      </c>
      <c r="H437" s="4" t="s">
        <v>904</v>
      </c>
      <c r="I437" s="4" t="str">
        <f>IF(ISERROR(VLOOKUP(H437,#REF!,9,0)),"",VLOOKUP(H437,#REF!,9,0))</f>
        <v/>
      </c>
      <c r="J437" s="42" t="s">
        <v>905</v>
      </c>
      <c r="K437" s="1" t="s">
        <v>376</v>
      </c>
      <c r="L437" s="1" t="s">
        <v>47</v>
      </c>
      <c r="M437" s="43">
        <v>2022</v>
      </c>
      <c r="N437" s="42"/>
      <c r="O437" s="43" t="s">
        <v>10</v>
      </c>
      <c r="P437" s="43"/>
      <c r="Q437" s="43"/>
      <c r="R437" s="43"/>
      <c r="S437" s="43"/>
      <c r="T437" s="43"/>
      <c r="U437" s="42"/>
    </row>
    <row r="438" spans="1:21" ht="21" customHeight="1" x14ac:dyDescent="0.3">
      <c r="A438" s="44" t="str">
        <f t="shared" si="24"/>
        <v>1</v>
      </c>
      <c r="B438" s="41">
        <f t="shared" si="25"/>
        <v>1</v>
      </c>
      <c r="C438" s="41" t="str">
        <f t="shared" si="26"/>
        <v/>
      </c>
      <c r="D438" s="41" t="str">
        <f t="shared" si="27"/>
        <v/>
      </c>
      <c r="E438" s="62"/>
      <c r="F438" s="1" t="s">
        <v>394</v>
      </c>
      <c r="G438" s="1">
        <v>437</v>
      </c>
      <c r="H438" s="4" t="s">
        <v>408</v>
      </c>
      <c r="I438" s="4" t="str">
        <f>IF(ISERROR(VLOOKUP(H438,#REF!,9,0)),"",VLOOKUP(H438,#REF!,9,0))</f>
        <v/>
      </c>
      <c r="J438" s="42"/>
      <c r="K438" s="1" t="s">
        <v>376</v>
      </c>
      <c r="L438" s="1" t="s">
        <v>521</v>
      </c>
      <c r="M438" s="43">
        <v>2022</v>
      </c>
      <c r="N438" s="42"/>
      <c r="O438" s="43" t="s">
        <v>10</v>
      </c>
      <c r="P438" s="43"/>
      <c r="Q438" s="43"/>
      <c r="R438" s="43"/>
      <c r="S438" s="43"/>
      <c r="T438" s="43"/>
      <c r="U438" s="42"/>
    </row>
    <row r="439" spans="1:21" ht="21" customHeight="1" x14ac:dyDescent="0.3">
      <c r="A439" s="44" t="str">
        <f t="shared" si="24"/>
        <v>11</v>
      </c>
      <c r="B439" s="41">
        <f t="shared" si="25"/>
        <v>1</v>
      </c>
      <c r="C439" s="41" t="str">
        <f t="shared" si="26"/>
        <v/>
      </c>
      <c r="D439" s="41">
        <f t="shared" si="27"/>
        <v>1</v>
      </c>
      <c r="E439" s="62"/>
      <c r="F439" s="1"/>
      <c r="G439" s="1">
        <v>438</v>
      </c>
      <c r="H439" s="4" t="s">
        <v>906</v>
      </c>
      <c r="I439" s="4" t="str">
        <f>IF(ISERROR(VLOOKUP(H439,#REF!,9,0)),"",VLOOKUP(H439,#REF!,9,0))</f>
        <v/>
      </c>
      <c r="J439" s="42" t="s">
        <v>896</v>
      </c>
      <c r="K439" s="1" t="s">
        <v>376</v>
      </c>
      <c r="L439" s="1" t="s">
        <v>47</v>
      </c>
      <c r="M439" s="43">
        <v>2022</v>
      </c>
      <c r="N439" s="42"/>
      <c r="O439" s="43" t="s">
        <v>10</v>
      </c>
      <c r="P439" s="43"/>
      <c r="Q439" s="43"/>
      <c r="R439" s="43"/>
      <c r="S439" s="43"/>
      <c r="T439" s="43"/>
      <c r="U439" s="42"/>
    </row>
    <row r="440" spans="1:21" ht="21" customHeight="1" x14ac:dyDescent="0.3">
      <c r="A440" s="44" t="str">
        <f t="shared" si="24"/>
        <v>1</v>
      </c>
      <c r="B440" s="41">
        <f t="shared" si="25"/>
        <v>1</v>
      </c>
      <c r="C440" s="41" t="str">
        <f t="shared" si="26"/>
        <v/>
      </c>
      <c r="D440" s="41" t="str">
        <f t="shared" si="27"/>
        <v/>
      </c>
      <c r="E440" s="62"/>
      <c r="F440" s="1" t="s">
        <v>377</v>
      </c>
      <c r="G440" s="1">
        <v>439</v>
      </c>
      <c r="H440" s="4" t="s">
        <v>410</v>
      </c>
      <c r="I440" s="4" t="str">
        <f>IF(ISERROR(VLOOKUP(H440,#REF!,9,0)),"",VLOOKUP(H440,#REF!,9,0))</f>
        <v/>
      </c>
      <c r="J440" s="42"/>
      <c r="K440" s="1" t="s">
        <v>376</v>
      </c>
      <c r="L440" s="1" t="s">
        <v>522</v>
      </c>
      <c r="M440" s="43">
        <v>2022</v>
      </c>
      <c r="N440" s="42"/>
      <c r="O440" s="43" t="s">
        <v>10</v>
      </c>
      <c r="P440" s="43"/>
      <c r="Q440" s="43"/>
      <c r="R440" s="43"/>
      <c r="S440" s="43"/>
      <c r="T440" s="43"/>
      <c r="U440" s="42"/>
    </row>
    <row r="441" spans="1:21" ht="21" customHeight="1" x14ac:dyDescent="0.3">
      <c r="A441" s="44" t="str">
        <f t="shared" si="24"/>
        <v>1</v>
      </c>
      <c r="B441" s="41">
        <f t="shared" si="25"/>
        <v>1</v>
      </c>
      <c r="C441" s="41" t="str">
        <f t="shared" si="26"/>
        <v/>
      </c>
      <c r="D441" s="41" t="str">
        <f t="shared" si="27"/>
        <v/>
      </c>
      <c r="E441" s="62"/>
      <c r="F441" s="1" t="s">
        <v>377</v>
      </c>
      <c r="G441" s="1">
        <v>440</v>
      </c>
      <c r="H441" s="4" t="s">
        <v>412</v>
      </c>
      <c r="I441" s="4" t="str">
        <f>IF(ISERROR(VLOOKUP(H441,#REF!,9,0)),"",VLOOKUP(H441,#REF!,9,0))</f>
        <v/>
      </c>
      <c r="J441" s="4"/>
      <c r="K441" s="1" t="s">
        <v>376</v>
      </c>
      <c r="L441" s="1" t="s">
        <v>522</v>
      </c>
      <c r="M441" s="43">
        <v>2022</v>
      </c>
      <c r="N441" s="42"/>
      <c r="O441" s="43" t="s">
        <v>10</v>
      </c>
      <c r="P441" s="43"/>
      <c r="Q441" s="43"/>
      <c r="R441" s="43"/>
      <c r="S441" s="43"/>
      <c r="T441" s="43"/>
      <c r="U441" s="42"/>
    </row>
    <row r="442" spans="1:21" ht="21" customHeight="1" x14ac:dyDescent="0.3">
      <c r="A442" s="44" t="str">
        <f t="shared" si="24"/>
        <v>1</v>
      </c>
      <c r="B442" s="41">
        <f t="shared" si="25"/>
        <v>1</v>
      </c>
      <c r="C442" s="41" t="str">
        <f t="shared" si="26"/>
        <v/>
      </c>
      <c r="D442" s="41" t="str">
        <f t="shared" si="27"/>
        <v/>
      </c>
      <c r="E442" s="62"/>
      <c r="F442" s="1" t="s">
        <v>377</v>
      </c>
      <c r="G442" s="1">
        <v>441</v>
      </c>
      <c r="H442" s="4" t="s">
        <v>414</v>
      </c>
      <c r="I442" s="4" t="str">
        <f>IF(ISERROR(VLOOKUP(H442,#REF!,9,0)),"",VLOOKUP(H442,#REF!,9,0))</f>
        <v/>
      </c>
      <c r="J442" s="4"/>
      <c r="K442" s="1" t="s">
        <v>376</v>
      </c>
      <c r="L442" s="1" t="s">
        <v>522</v>
      </c>
      <c r="M442" s="43">
        <v>2022</v>
      </c>
      <c r="N442" s="42"/>
      <c r="O442" s="43" t="s">
        <v>10</v>
      </c>
      <c r="P442" s="43"/>
      <c r="Q442" s="43"/>
      <c r="R442" s="43"/>
      <c r="S442" s="43"/>
      <c r="T442" s="43"/>
      <c r="U442" s="42"/>
    </row>
    <row r="443" spans="1:21" ht="21" customHeight="1" x14ac:dyDescent="0.3">
      <c r="A443" s="44" t="str">
        <f t="shared" si="24"/>
        <v>1</v>
      </c>
      <c r="B443" s="41">
        <f t="shared" si="25"/>
        <v>1</v>
      </c>
      <c r="C443" s="41" t="str">
        <f t="shared" si="26"/>
        <v/>
      </c>
      <c r="D443" s="41" t="str">
        <f t="shared" si="27"/>
        <v/>
      </c>
      <c r="E443" s="62"/>
      <c r="F443" s="1" t="s">
        <v>377</v>
      </c>
      <c r="G443" s="1">
        <v>442</v>
      </c>
      <c r="H443" s="4" t="s">
        <v>416</v>
      </c>
      <c r="I443" s="4" t="str">
        <f>IF(ISERROR(VLOOKUP(H443,#REF!,9,0)),"",VLOOKUP(H443,#REF!,9,0))</f>
        <v/>
      </c>
      <c r="J443" s="42"/>
      <c r="K443" s="1" t="s">
        <v>376</v>
      </c>
      <c r="L443" s="1" t="s">
        <v>522</v>
      </c>
      <c r="M443" s="43">
        <v>2022</v>
      </c>
      <c r="N443" s="42"/>
      <c r="O443" s="43" t="s">
        <v>10</v>
      </c>
      <c r="P443" s="43"/>
      <c r="Q443" s="43"/>
      <c r="R443" s="43"/>
      <c r="S443" s="43"/>
      <c r="T443" s="43"/>
      <c r="U443" s="42"/>
    </row>
    <row r="444" spans="1:21" ht="21" customHeight="1" x14ac:dyDescent="0.3">
      <c r="A444" s="44" t="str">
        <f t="shared" si="24"/>
        <v>1</v>
      </c>
      <c r="B444" s="41">
        <f t="shared" si="25"/>
        <v>1</v>
      </c>
      <c r="C444" s="41" t="str">
        <f t="shared" si="26"/>
        <v/>
      </c>
      <c r="D444" s="41" t="str">
        <f t="shared" si="27"/>
        <v/>
      </c>
      <c r="E444" s="62"/>
      <c r="F444" s="1" t="s">
        <v>377</v>
      </c>
      <c r="G444" s="1">
        <v>443</v>
      </c>
      <c r="H444" s="4" t="s">
        <v>418</v>
      </c>
      <c r="I444" s="4" t="str">
        <f>IF(ISERROR(VLOOKUP(H444,#REF!,9,0)),"",VLOOKUP(H444,#REF!,9,0))</f>
        <v/>
      </c>
      <c r="J444" s="42"/>
      <c r="K444" s="1" t="s">
        <v>376</v>
      </c>
      <c r="L444" s="1" t="s">
        <v>522</v>
      </c>
      <c r="M444" s="43">
        <v>2022</v>
      </c>
      <c r="N444" s="42"/>
      <c r="O444" s="43" t="s">
        <v>10</v>
      </c>
      <c r="P444" s="43"/>
      <c r="Q444" s="43"/>
      <c r="R444" s="43"/>
      <c r="S444" s="43"/>
      <c r="T444" s="43"/>
      <c r="U444" s="42"/>
    </row>
    <row r="445" spans="1:21" ht="21" customHeight="1" x14ac:dyDescent="0.3">
      <c r="A445" s="44" t="str">
        <f t="shared" si="24"/>
        <v>1</v>
      </c>
      <c r="B445" s="41">
        <f t="shared" si="25"/>
        <v>1</v>
      </c>
      <c r="C445" s="41" t="str">
        <f t="shared" si="26"/>
        <v/>
      </c>
      <c r="D445" s="41" t="str">
        <f t="shared" si="27"/>
        <v/>
      </c>
      <c r="E445" s="62"/>
      <c r="F445" s="1" t="s">
        <v>394</v>
      </c>
      <c r="G445" s="1">
        <v>444</v>
      </c>
      <c r="H445" s="4" t="s">
        <v>420</v>
      </c>
      <c r="I445" s="4" t="str">
        <f>IF(ISERROR(VLOOKUP(H445,#REF!,9,0)),"",VLOOKUP(H445,#REF!,9,0))</f>
        <v/>
      </c>
      <c r="J445" s="42"/>
      <c r="K445" s="1" t="s">
        <v>376</v>
      </c>
      <c r="L445" s="1" t="s">
        <v>522</v>
      </c>
      <c r="M445" s="43">
        <v>2022</v>
      </c>
      <c r="N445" s="42"/>
      <c r="O445" s="43" t="s">
        <v>10</v>
      </c>
      <c r="P445" s="43"/>
      <c r="Q445" s="43"/>
      <c r="R445" s="43"/>
      <c r="S445" s="43"/>
      <c r="T445" s="43"/>
      <c r="U445" s="42"/>
    </row>
    <row r="446" spans="1:21" ht="21" customHeight="1" x14ac:dyDescent="0.3">
      <c r="A446" s="44" t="str">
        <f t="shared" si="24"/>
        <v>1</v>
      </c>
      <c r="B446" s="41">
        <f t="shared" si="25"/>
        <v>1</v>
      </c>
      <c r="C446" s="41" t="str">
        <f t="shared" si="26"/>
        <v/>
      </c>
      <c r="D446" s="41" t="str">
        <f t="shared" si="27"/>
        <v/>
      </c>
      <c r="E446" s="62"/>
      <c r="F446" s="1" t="s">
        <v>394</v>
      </c>
      <c r="G446" s="1">
        <v>445</v>
      </c>
      <c r="H446" s="4" t="s">
        <v>421</v>
      </c>
      <c r="I446" s="4" t="str">
        <f>IF(ISERROR(VLOOKUP(H446,#REF!,9,0)),"",VLOOKUP(H446,#REF!,9,0))</f>
        <v/>
      </c>
      <c r="J446" s="42"/>
      <c r="K446" s="1" t="s">
        <v>376</v>
      </c>
      <c r="L446" s="1" t="s">
        <v>522</v>
      </c>
      <c r="M446" s="43">
        <v>2022</v>
      </c>
      <c r="N446" s="42"/>
      <c r="O446" s="43" t="s">
        <v>10</v>
      </c>
      <c r="P446" s="43"/>
      <c r="Q446" s="43"/>
      <c r="R446" s="43"/>
      <c r="S446" s="43"/>
      <c r="T446" s="43"/>
      <c r="U446" s="42"/>
    </row>
    <row r="447" spans="1:21" ht="21" customHeight="1" x14ac:dyDescent="0.3">
      <c r="A447" s="44" t="str">
        <f t="shared" si="24"/>
        <v>1</v>
      </c>
      <c r="B447" s="41">
        <f t="shared" si="25"/>
        <v>1</v>
      </c>
      <c r="C447" s="41" t="str">
        <f t="shared" si="26"/>
        <v/>
      </c>
      <c r="D447" s="41" t="str">
        <f t="shared" si="27"/>
        <v/>
      </c>
      <c r="E447" s="62"/>
      <c r="F447" s="1" t="s">
        <v>423</v>
      </c>
      <c r="G447" s="1">
        <v>446</v>
      </c>
      <c r="H447" s="4" t="s">
        <v>323</v>
      </c>
      <c r="I447" s="4" t="str">
        <f>IF(ISERROR(VLOOKUP(H447,#REF!,9,0)),"",VLOOKUP(H447,#REF!,9,0))</f>
        <v/>
      </c>
      <c r="J447" s="4"/>
      <c r="K447" s="1" t="s">
        <v>376</v>
      </c>
      <c r="L447" s="1" t="s">
        <v>522</v>
      </c>
      <c r="M447" s="43">
        <v>2022</v>
      </c>
      <c r="N447" s="42"/>
      <c r="O447" s="43" t="s">
        <v>10</v>
      </c>
      <c r="P447" s="43"/>
      <c r="Q447" s="43"/>
      <c r="R447" s="43"/>
      <c r="S447" s="43"/>
      <c r="T447" s="43"/>
      <c r="U447" s="42"/>
    </row>
    <row r="448" spans="1:21" ht="21" customHeight="1" x14ac:dyDescent="0.3">
      <c r="A448" s="44" t="str">
        <f t="shared" si="24"/>
        <v>11</v>
      </c>
      <c r="B448" s="41">
        <f t="shared" si="25"/>
        <v>1</v>
      </c>
      <c r="C448" s="41" t="str">
        <f t="shared" si="26"/>
        <v/>
      </c>
      <c r="D448" s="41">
        <f t="shared" si="27"/>
        <v>1</v>
      </c>
      <c r="E448" s="62"/>
      <c r="F448" s="1" t="s">
        <v>423</v>
      </c>
      <c r="G448" s="1">
        <v>447</v>
      </c>
      <c r="H448" s="4" t="s">
        <v>907</v>
      </c>
      <c r="I448" s="4" t="str">
        <f>IF(ISERROR(VLOOKUP(H448,#REF!,9,0)),"",VLOOKUP(H448,#REF!,9,0))</f>
        <v/>
      </c>
      <c r="J448" s="42" t="s">
        <v>905</v>
      </c>
      <c r="K448" s="1" t="s">
        <v>376</v>
      </c>
      <c r="L448" s="1" t="s">
        <v>47</v>
      </c>
      <c r="M448" s="43">
        <v>2022</v>
      </c>
      <c r="N448" s="42"/>
      <c r="O448" s="43" t="s">
        <v>10</v>
      </c>
      <c r="P448" s="43"/>
      <c r="Q448" s="43"/>
      <c r="R448" s="43"/>
      <c r="S448" s="43"/>
      <c r="T448" s="43"/>
      <c r="U448" s="42"/>
    </row>
    <row r="449" spans="1:21" ht="21" customHeight="1" x14ac:dyDescent="0.3">
      <c r="A449" s="44" t="str">
        <f t="shared" si="24"/>
        <v>11</v>
      </c>
      <c r="B449" s="41">
        <f t="shared" si="25"/>
        <v>1</v>
      </c>
      <c r="C449" s="41" t="str">
        <f t="shared" si="26"/>
        <v/>
      </c>
      <c r="D449" s="41">
        <f t="shared" si="27"/>
        <v>1</v>
      </c>
      <c r="E449" s="62"/>
      <c r="F449" s="1" t="s">
        <v>423</v>
      </c>
      <c r="G449" s="1">
        <v>448</v>
      </c>
      <c r="H449" s="4" t="s">
        <v>895</v>
      </c>
      <c r="I449" s="4" t="str">
        <f>IF(ISERROR(VLOOKUP(H449,#REF!,9,0)),"",VLOOKUP(H449,#REF!,9,0))</f>
        <v/>
      </c>
      <c r="J449" s="42" t="s">
        <v>905</v>
      </c>
      <c r="K449" s="1" t="s">
        <v>376</v>
      </c>
      <c r="L449" s="1" t="s">
        <v>47</v>
      </c>
      <c r="M449" s="43">
        <v>2022</v>
      </c>
      <c r="N449" s="42"/>
      <c r="O449" s="43" t="s">
        <v>10</v>
      </c>
      <c r="P449" s="43"/>
      <c r="Q449" s="43"/>
      <c r="R449" s="43"/>
      <c r="S449" s="43"/>
      <c r="T449" s="43"/>
      <c r="U449" s="42"/>
    </row>
    <row r="450" spans="1:21" ht="21" customHeight="1" x14ac:dyDescent="0.3">
      <c r="A450" s="44" t="str">
        <f t="shared" si="24"/>
        <v>11</v>
      </c>
      <c r="B450" s="41">
        <f t="shared" si="25"/>
        <v>1</v>
      </c>
      <c r="C450" s="41" t="str">
        <f t="shared" si="26"/>
        <v/>
      </c>
      <c r="D450" s="41">
        <f t="shared" si="27"/>
        <v>1</v>
      </c>
      <c r="E450" s="62"/>
      <c r="F450" s="1" t="s">
        <v>423</v>
      </c>
      <c r="G450" s="1">
        <v>449</v>
      </c>
      <c r="H450" s="4" t="s">
        <v>897</v>
      </c>
      <c r="I450" s="4" t="str">
        <f>IF(ISERROR(VLOOKUP(H450,#REF!,9,0)),"",VLOOKUP(H450,#REF!,9,0))</f>
        <v/>
      </c>
      <c r="J450" s="42" t="s">
        <v>908</v>
      </c>
      <c r="K450" s="1" t="s">
        <v>376</v>
      </c>
      <c r="L450" s="1" t="s">
        <v>47</v>
      </c>
      <c r="M450" s="43">
        <v>2022</v>
      </c>
      <c r="N450" s="42"/>
      <c r="O450" s="43" t="s">
        <v>10</v>
      </c>
      <c r="P450" s="43"/>
      <c r="Q450" s="43"/>
      <c r="R450" s="43"/>
      <c r="S450" s="43"/>
      <c r="T450" s="43"/>
      <c r="U450" s="42"/>
    </row>
    <row r="451" spans="1:21" ht="21" customHeight="1" x14ac:dyDescent="0.3">
      <c r="A451" s="44" t="str">
        <f t="shared" si="24"/>
        <v>1</v>
      </c>
      <c r="B451" s="41">
        <f t="shared" si="25"/>
        <v>1</v>
      </c>
      <c r="C451" s="41" t="str">
        <f t="shared" si="26"/>
        <v/>
      </c>
      <c r="D451" s="41" t="str">
        <f t="shared" si="27"/>
        <v/>
      </c>
      <c r="E451" s="62"/>
      <c r="F451" s="1" t="s">
        <v>423</v>
      </c>
      <c r="G451" s="1">
        <v>450</v>
      </c>
      <c r="H451" s="4" t="s">
        <v>425</v>
      </c>
      <c r="I451" s="4" t="str">
        <f>IF(ISERROR(VLOOKUP(H451,#REF!,9,0)),"",VLOOKUP(H451,#REF!,9,0))</f>
        <v/>
      </c>
      <c r="J451" s="42"/>
      <c r="K451" s="1" t="s">
        <v>376</v>
      </c>
      <c r="L451" s="1" t="s">
        <v>522</v>
      </c>
      <c r="M451" s="43">
        <v>2022</v>
      </c>
      <c r="N451" s="42"/>
      <c r="O451" s="43" t="s">
        <v>10</v>
      </c>
      <c r="P451" s="43"/>
      <c r="Q451" s="43"/>
      <c r="R451" s="43"/>
      <c r="S451" s="43"/>
      <c r="T451" s="43"/>
      <c r="U451" s="42"/>
    </row>
    <row r="452" spans="1:21" ht="21" customHeight="1" x14ac:dyDescent="0.3">
      <c r="A452" s="44" t="str">
        <f t="shared" ref="A452:A515" si="28">B452&amp;D452</f>
        <v>11</v>
      </c>
      <c r="B452" s="41">
        <f t="shared" ref="B452:B515" si="29">IF(H452="","",1)</f>
        <v>1</v>
      </c>
      <c r="C452" s="41" t="str">
        <f t="shared" ref="C452:C515" si="30">IF(I452="","",1)</f>
        <v/>
      </c>
      <c r="D452" s="41">
        <f t="shared" ref="D452:D515" si="31">IF(J452="","",1)</f>
        <v>1</v>
      </c>
      <c r="E452" s="62"/>
      <c r="F452" s="1" t="s">
        <v>423</v>
      </c>
      <c r="G452" s="1">
        <v>451</v>
      </c>
      <c r="H452" s="4" t="s">
        <v>909</v>
      </c>
      <c r="I452" s="4" t="str">
        <f>IF(ISERROR(VLOOKUP(H452,#REF!,9,0)),"",VLOOKUP(H452,#REF!,9,0))</f>
        <v/>
      </c>
      <c r="J452" s="42" t="s">
        <v>910</v>
      </c>
      <c r="K452" s="1" t="s">
        <v>376</v>
      </c>
      <c r="L452" s="1" t="s">
        <v>47</v>
      </c>
      <c r="M452" s="43">
        <v>2022</v>
      </c>
      <c r="N452" s="42"/>
      <c r="O452" s="43" t="s">
        <v>10</v>
      </c>
      <c r="P452" s="43"/>
      <c r="Q452" s="43"/>
      <c r="R452" s="43"/>
      <c r="S452" s="43"/>
      <c r="T452" s="43"/>
      <c r="U452" s="42"/>
    </row>
    <row r="453" spans="1:21" ht="21" customHeight="1" x14ac:dyDescent="0.3">
      <c r="A453" s="44" t="str">
        <f t="shared" si="28"/>
        <v>11</v>
      </c>
      <c r="B453" s="41">
        <f t="shared" si="29"/>
        <v>1</v>
      </c>
      <c r="C453" s="41" t="str">
        <f t="shared" si="30"/>
        <v/>
      </c>
      <c r="D453" s="41">
        <f t="shared" si="31"/>
        <v>1</v>
      </c>
      <c r="E453" s="62"/>
      <c r="F453" s="1" t="s">
        <v>423</v>
      </c>
      <c r="G453" s="1">
        <v>452</v>
      </c>
      <c r="H453" s="4" t="s">
        <v>598</v>
      </c>
      <c r="I453" s="4" t="str">
        <f>IF(ISERROR(VLOOKUP(H453,#REF!,9,0)),"",VLOOKUP(H453,#REF!,9,0))</f>
        <v/>
      </c>
      <c r="J453" s="42" t="s">
        <v>905</v>
      </c>
      <c r="K453" s="1" t="s">
        <v>376</v>
      </c>
      <c r="L453" s="1" t="s">
        <v>47</v>
      </c>
      <c r="M453" s="43">
        <v>2022</v>
      </c>
      <c r="N453" s="42"/>
      <c r="O453" s="43" t="s">
        <v>10</v>
      </c>
      <c r="P453" s="43"/>
      <c r="Q453" s="43"/>
      <c r="R453" s="43"/>
      <c r="S453" s="43"/>
      <c r="T453" s="43"/>
      <c r="U453" s="42"/>
    </row>
    <row r="454" spans="1:21" ht="21" customHeight="1" x14ac:dyDescent="0.3">
      <c r="A454" s="44" t="str">
        <f t="shared" si="28"/>
        <v>11</v>
      </c>
      <c r="B454" s="41">
        <f t="shared" si="29"/>
        <v>1</v>
      </c>
      <c r="C454" s="41" t="str">
        <f t="shared" si="30"/>
        <v/>
      </c>
      <c r="D454" s="41">
        <f t="shared" si="31"/>
        <v>1</v>
      </c>
      <c r="E454" s="62"/>
      <c r="F454" s="1"/>
      <c r="G454" s="1">
        <v>453</v>
      </c>
      <c r="H454" s="4" t="s">
        <v>911</v>
      </c>
      <c r="I454" s="4" t="str">
        <f>IF(ISERROR(VLOOKUP(H454,#REF!,9,0)),"",VLOOKUP(H454,#REF!,9,0))</f>
        <v/>
      </c>
      <c r="J454" s="42" t="s">
        <v>905</v>
      </c>
      <c r="K454" s="1" t="s">
        <v>376</v>
      </c>
      <c r="L454" s="1" t="s">
        <v>47</v>
      </c>
      <c r="M454" s="43">
        <v>2022</v>
      </c>
      <c r="N454" s="42"/>
      <c r="O454" s="43" t="s">
        <v>10</v>
      </c>
      <c r="P454" s="43"/>
      <c r="Q454" s="43"/>
      <c r="R454" s="43"/>
      <c r="S454" s="43"/>
      <c r="T454" s="43"/>
      <c r="U454" s="42"/>
    </row>
    <row r="455" spans="1:21" ht="21" customHeight="1" x14ac:dyDescent="0.3">
      <c r="A455" s="44" t="str">
        <f t="shared" si="28"/>
        <v>1</v>
      </c>
      <c r="B455" s="41">
        <f t="shared" si="29"/>
        <v>1</v>
      </c>
      <c r="C455" s="41" t="str">
        <f t="shared" si="30"/>
        <v/>
      </c>
      <c r="D455" s="41" t="str">
        <f t="shared" si="31"/>
        <v/>
      </c>
      <c r="E455" s="62"/>
      <c r="F455" s="1" t="s">
        <v>399</v>
      </c>
      <c r="G455" s="1">
        <v>454</v>
      </c>
      <c r="H455" s="4" t="s">
        <v>427</v>
      </c>
      <c r="I455" s="4" t="str">
        <f>IF(ISERROR(VLOOKUP(H455,#REF!,9,0)),"",VLOOKUP(H455,#REF!,9,0))</f>
        <v/>
      </c>
      <c r="J455" s="42"/>
      <c r="K455" s="1" t="s">
        <v>376</v>
      </c>
      <c r="L455" s="1" t="s">
        <v>522</v>
      </c>
      <c r="M455" s="43">
        <v>2022</v>
      </c>
      <c r="N455" s="42"/>
      <c r="O455" s="43" t="s">
        <v>10</v>
      </c>
      <c r="P455" s="43"/>
      <c r="Q455" s="43"/>
      <c r="R455" s="43"/>
      <c r="S455" s="43"/>
      <c r="T455" s="43"/>
      <c r="U455" s="42"/>
    </row>
    <row r="456" spans="1:21" ht="21" customHeight="1" x14ac:dyDescent="0.3">
      <c r="A456" s="44" t="str">
        <f t="shared" si="28"/>
        <v>11</v>
      </c>
      <c r="B456" s="41">
        <f t="shared" si="29"/>
        <v>1</v>
      </c>
      <c r="C456" s="41" t="str">
        <f t="shared" si="30"/>
        <v/>
      </c>
      <c r="D456" s="41">
        <f t="shared" si="31"/>
        <v>1</v>
      </c>
      <c r="E456" s="62"/>
      <c r="F456" s="1" t="s">
        <v>423</v>
      </c>
      <c r="G456" s="1">
        <v>455</v>
      </c>
      <c r="H456" s="4" t="s">
        <v>606</v>
      </c>
      <c r="I456" s="4" t="str">
        <f>IF(ISERROR(VLOOKUP(H456,#REF!,9,0)),"",VLOOKUP(H456,#REF!,9,0))</f>
        <v/>
      </c>
      <c r="J456" s="42" t="s">
        <v>912</v>
      </c>
      <c r="K456" s="1" t="s">
        <v>376</v>
      </c>
      <c r="L456" s="1" t="s">
        <v>47</v>
      </c>
      <c r="M456" s="43">
        <v>2022</v>
      </c>
      <c r="N456" s="42"/>
      <c r="O456" s="43" t="s">
        <v>10</v>
      </c>
      <c r="P456" s="43"/>
      <c r="Q456" s="43"/>
      <c r="R456" s="43"/>
      <c r="S456" s="43"/>
      <c r="T456" s="43"/>
      <c r="U456" s="42"/>
    </row>
    <row r="457" spans="1:21" ht="21" customHeight="1" x14ac:dyDescent="0.3">
      <c r="A457" s="44" t="str">
        <f t="shared" si="28"/>
        <v>11</v>
      </c>
      <c r="B457" s="41">
        <f t="shared" si="29"/>
        <v>1</v>
      </c>
      <c r="C457" s="41" t="str">
        <f t="shared" si="30"/>
        <v/>
      </c>
      <c r="D457" s="41">
        <f t="shared" si="31"/>
        <v>1</v>
      </c>
      <c r="E457" s="62"/>
      <c r="F457" s="1" t="s">
        <v>423</v>
      </c>
      <c r="G457" s="1">
        <v>456</v>
      </c>
      <c r="H457" s="4" t="s">
        <v>345</v>
      </c>
      <c r="I457" s="4" t="str">
        <f>IF(ISERROR(VLOOKUP(H457,#REF!,9,0)),"",VLOOKUP(H457,#REF!,9,0))</f>
        <v/>
      </c>
      <c r="J457" s="42" t="s">
        <v>905</v>
      </c>
      <c r="K457" s="1" t="s">
        <v>376</v>
      </c>
      <c r="L457" s="1" t="s">
        <v>47</v>
      </c>
      <c r="M457" s="43">
        <v>2022</v>
      </c>
      <c r="N457" s="42"/>
      <c r="O457" s="43" t="s">
        <v>10</v>
      </c>
      <c r="P457" s="43"/>
      <c r="Q457" s="43"/>
      <c r="R457" s="43"/>
      <c r="S457" s="43"/>
      <c r="T457" s="43"/>
      <c r="U457" s="42"/>
    </row>
    <row r="458" spans="1:21" ht="21" customHeight="1" x14ac:dyDescent="0.3">
      <c r="A458" s="44" t="str">
        <f t="shared" si="28"/>
        <v>11</v>
      </c>
      <c r="B458" s="41">
        <f t="shared" si="29"/>
        <v>1</v>
      </c>
      <c r="C458" s="41" t="str">
        <f t="shared" si="30"/>
        <v/>
      </c>
      <c r="D458" s="41">
        <f t="shared" si="31"/>
        <v>1</v>
      </c>
      <c r="E458" s="62"/>
      <c r="F458" s="1" t="s">
        <v>423</v>
      </c>
      <c r="G458" s="1">
        <v>457</v>
      </c>
      <c r="H458" s="4" t="s">
        <v>348</v>
      </c>
      <c r="I458" s="4" t="str">
        <f>IF(ISERROR(VLOOKUP(H458,#REF!,9,0)),"",VLOOKUP(H458,#REF!,9,0))</f>
        <v/>
      </c>
      <c r="J458" s="42" t="s">
        <v>913</v>
      </c>
      <c r="K458" s="1" t="s">
        <v>376</v>
      </c>
      <c r="L458" s="1" t="s">
        <v>47</v>
      </c>
      <c r="M458" s="43">
        <v>2022</v>
      </c>
      <c r="N458" s="42"/>
      <c r="O458" s="43" t="s">
        <v>10</v>
      </c>
      <c r="P458" s="43"/>
      <c r="Q458" s="43"/>
      <c r="R458" s="43"/>
      <c r="S458" s="43"/>
      <c r="T458" s="43"/>
      <c r="U458" s="42"/>
    </row>
    <row r="459" spans="1:21" ht="21" customHeight="1" x14ac:dyDescent="0.3">
      <c r="A459" s="44" t="str">
        <f t="shared" si="28"/>
        <v>11</v>
      </c>
      <c r="B459" s="41">
        <f t="shared" si="29"/>
        <v>1</v>
      </c>
      <c r="C459" s="41" t="str">
        <f t="shared" si="30"/>
        <v/>
      </c>
      <c r="D459" s="41">
        <f t="shared" si="31"/>
        <v>1</v>
      </c>
      <c r="E459" s="62"/>
      <c r="F459" s="1" t="s">
        <v>394</v>
      </c>
      <c r="G459" s="1">
        <v>458</v>
      </c>
      <c r="H459" s="4" t="s">
        <v>914</v>
      </c>
      <c r="I459" s="4" t="str">
        <f>IF(ISERROR(VLOOKUP(H459,#REF!,9,0)),"",VLOOKUP(H459,#REF!,9,0))</f>
        <v/>
      </c>
      <c r="J459" s="42" t="s">
        <v>915</v>
      </c>
      <c r="K459" s="1" t="s">
        <v>376</v>
      </c>
      <c r="L459" s="1" t="s">
        <v>47</v>
      </c>
      <c r="M459" s="43">
        <v>2022</v>
      </c>
      <c r="N459" s="42"/>
      <c r="O459" s="43" t="s">
        <v>10</v>
      </c>
      <c r="P459" s="43"/>
      <c r="Q459" s="43"/>
      <c r="R459" s="43"/>
      <c r="S459" s="43"/>
      <c r="T459" s="43"/>
      <c r="U459" s="42"/>
    </row>
    <row r="460" spans="1:21" ht="21" customHeight="1" x14ac:dyDescent="0.3">
      <c r="A460" s="44" t="str">
        <f t="shared" si="28"/>
        <v>1</v>
      </c>
      <c r="B460" s="41">
        <f t="shared" si="29"/>
        <v>1</v>
      </c>
      <c r="C460" s="41" t="str">
        <f t="shared" si="30"/>
        <v/>
      </c>
      <c r="D460" s="41" t="str">
        <f t="shared" si="31"/>
        <v/>
      </c>
      <c r="E460" s="62"/>
      <c r="F460" s="1" t="s">
        <v>377</v>
      </c>
      <c r="G460" s="1">
        <v>459</v>
      </c>
      <c r="H460" s="4" t="s">
        <v>429</v>
      </c>
      <c r="I460" s="4" t="str">
        <f>IF(ISERROR(VLOOKUP(H460,#REF!,9,0)),"",VLOOKUP(H460,#REF!,9,0))</f>
        <v/>
      </c>
      <c r="J460" s="42"/>
      <c r="K460" s="1" t="s">
        <v>376</v>
      </c>
      <c r="L460" s="1" t="s">
        <v>522</v>
      </c>
      <c r="M460" s="43">
        <v>2022</v>
      </c>
      <c r="N460" s="42"/>
      <c r="O460" s="43" t="s">
        <v>10</v>
      </c>
      <c r="P460" s="43"/>
      <c r="Q460" s="43"/>
      <c r="R460" s="43"/>
      <c r="S460" s="43"/>
      <c r="T460" s="43"/>
      <c r="U460" s="42"/>
    </row>
    <row r="461" spans="1:21" ht="21" customHeight="1" x14ac:dyDescent="0.3">
      <c r="A461" s="44" t="str">
        <f t="shared" si="28"/>
        <v>11</v>
      </c>
      <c r="B461" s="41">
        <f t="shared" si="29"/>
        <v>1</v>
      </c>
      <c r="C461" s="41" t="str">
        <f t="shared" si="30"/>
        <v/>
      </c>
      <c r="D461" s="41">
        <f t="shared" si="31"/>
        <v>1</v>
      </c>
      <c r="E461" s="62"/>
      <c r="F461" s="1" t="s">
        <v>394</v>
      </c>
      <c r="G461" s="1">
        <v>460</v>
      </c>
      <c r="H461" s="4" t="s">
        <v>431</v>
      </c>
      <c r="I461" s="4" t="str">
        <f>IF(ISERROR(VLOOKUP(H461,#REF!,9,0)),"",VLOOKUP(H461,#REF!,9,0))</f>
        <v/>
      </c>
      <c r="J461" s="42" t="s">
        <v>916</v>
      </c>
      <c r="K461" s="1" t="s">
        <v>376</v>
      </c>
      <c r="L461" s="1" t="s">
        <v>521</v>
      </c>
      <c r="M461" s="43">
        <v>2022</v>
      </c>
      <c r="N461" s="42"/>
      <c r="O461" s="43" t="s">
        <v>10</v>
      </c>
      <c r="P461" s="43"/>
      <c r="Q461" s="43"/>
      <c r="R461" s="43"/>
      <c r="S461" s="43"/>
      <c r="T461" s="43"/>
      <c r="U461" s="42"/>
    </row>
    <row r="462" spans="1:21" ht="21" customHeight="1" x14ac:dyDescent="0.3">
      <c r="A462" s="44" t="str">
        <f t="shared" si="28"/>
        <v>11</v>
      </c>
      <c r="B462" s="41">
        <f t="shared" si="29"/>
        <v>1</v>
      </c>
      <c r="C462" s="41" t="str">
        <f t="shared" si="30"/>
        <v/>
      </c>
      <c r="D462" s="41">
        <f t="shared" si="31"/>
        <v>1</v>
      </c>
      <c r="E462" s="62"/>
      <c r="F462" s="1" t="s">
        <v>394</v>
      </c>
      <c r="G462" s="1">
        <v>461</v>
      </c>
      <c r="H462" s="4" t="s">
        <v>917</v>
      </c>
      <c r="I462" s="4" t="str">
        <f>IF(ISERROR(VLOOKUP(H462,#REF!,9,0)),"",VLOOKUP(H462,#REF!,9,0))</f>
        <v/>
      </c>
      <c r="J462" s="42" t="s">
        <v>896</v>
      </c>
      <c r="K462" s="1" t="s">
        <v>376</v>
      </c>
      <c r="L462" s="1" t="s">
        <v>47</v>
      </c>
      <c r="M462" s="43">
        <v>2022</v>
      </c>
      <c r="N462" s="42"/>
      <c r="O462" s="43" t="s">
        <v>10</v>
      </c>
      <c r="P462" s="43"/>
      <c r="Q462" s="43"/>
      <c r="R462" s="43"/>
      <c r="S462" s="43"/>
      <c r="T462" s="43"/>
      <c r="U462" s="42"/>
    </row>
    <row r="463" spans="1:21" ht="21" customHeight="1" x14ac:dyDescent="0.3">
      <c r="A463" s="44" t="str">
        <f t="shared" si="28"/>
        <v>1</v>
      </c>
      <c r="B463" s="41">
        <f t="shared" si="29"/>
        <v>1</v>
      </c>
      <c r="C463" s="41" t="str">
        <f t="shared" si="30"/>
        <v/>
      </c>
      <c r="D463" s="41" t="str">
        <f t="shared" si="31"/>
        <v/>
      </c>
      <c r="E463" s="62"/>
      <c r="F463" s="1" t="s">
        <v>423</v>
      </c>
      <c r="G463" s="1">
        <v>462</v>
      </c>
      <c r="H463" s="4" t="s">
        <v>433</v>
      </c>
      <c r="I463" s="4" t="str">
        <f>IF(ISERROR(VLOOKUP(H463,#REF!,9,0)),"",VLOOKUP(H463,#REF!,9,0))</f>
        <v/>
      </c>
      <c r="J463" s="42"/>
      <c r="K463" s="1" t="s">
        <v>376</v>
      </c>
      <c r="L463" s="1" t="s">
        <v>522</v>
      </c>
      <c r="M463" s="43">
        <v>2022</v>
      </c>
      <c r="N463" s="42"/>
      <c r="O463" s="43" t="s">
        <v>10</v>
      </c>
      <c r="P463" s="43"/>
      <c r="Q463" s="43"/>
      <c r="R463" s="43"/>
      <c r="S463" s="43"/>
      <c r="T463" s="43"/>
      <c r="U463" s="42"/>
    </row>
    <row r="464" spans="1:21" ht="21" customHeight="1" x14ac:dyDescent="0.3">
      <c r="A464" s="44" t="str">
        <f t="shared" si="28"/>
        <v>11</v>
      </c>
      <c r="B464" s="41">
        <f t="shared" si="29"/>
        <v>1</v>
      </c>
      <c r="C464" s="41" t="str">
        <f t="shared" si="30"/>
        <v/>
      </c>
      <c r="D464" s="41">
        <f t="shared" si="31"/>
        <v>1</v>
      </c>
      <c r="E464" s="62"/>
      <c r="F464" s="1"/>
      <c r="G464" s="1">
        <v>463</v>
      </c>
      <c r="H464" s="4" t="s">
        <v>918</v>
      </c>
      <c r="I464" s="4" t="str">
        <f>IF(ISERROR(VLOOKUP(H464,#REF!,9,0)),"",VLOOKUP(H464,#REF!,9,0))</f>
        <v/>
      </c>
      <c r="J464" s="42" t="s">
        <v>919</v>
      </c>
      <c r="K464" s="1" t="s">
        <v>376</v>
      </c>
      <c r="L464" s="1" t="s">
        <v>47</v>
      </c>
      <c r="M464" s="43">
        <v>2022</v>
      </c>
      <c r="N464" s="42"/>
      <c r="O464" s="43" t="s">
        <v>10</v>
      </c>
      <c r="P464" s="43"/>
      <c r="Q464" s="43"/>
      <c r="R464" s="43"/>
      <c r="S464" s="43"/>
      <c r="T464" s="43"/>
      <c r="U464" s="42"/>
    </row>
    <row r="465" spans="1:21" ht="21" customHeight="1" x14ac:dyDescent="0.3">
      <c r="A465" s="44" t="str">
        <f t="shared" si="28"/>
        <v>1</v>
      </c>
      <c r="B465" s="41">
        <f t="shared" si="29"/>
        <v>1</v>
      </c>
      <c r="C465" s="41" t="str">
        <f t="shared" si="30"/>
        <v/>
      </c>
      <c r="D465" s="41" t="str">
        <f t="shared" si="31"/>
        <v/>
      </c>
      <c r="E465" s="62"/>
      <c r="F465" s="1" t="s">
        <v>394</v>
      </c>
      <c r="G465" s="1">
        <v>464</v>
      </c>
      <c r="H465" s="4" t="s">
        <v>434</v>
      </c>
      <c r="I465" s="4" t="str">
        <f>IF(ISERROR(VLOOKUP(H465,#REF!,9,0)),"",VLOOKUP(H465,#REF!,9,0))</f>
        <v/>
      </c>
      <c r="J465" s="42"/>
      <c r="K465" s="1" t="s">
        <v>376</v>
      </c>
      <c r="L465" s="1" t="s">
        <v>522</v>
      </c>
      <c r="M465" s="43">
        <v>2022</v>
      </c>
      <c r="N465" s="42"/>
      <c r="O465" s="43" t="s">
        <v>10</v>
      </c>
      <c r="P465" s="43"/>
      <c r="Q465" s="43"/>
      <c r="R465" s="43"/>
      <c r="S465" s="43"/>
      <c r="T465" s="43"/>
      <c r="U465" s="42"/>
    </row>
    <row r="466" spans="1:21" ht="21" customHeight="1" x14ac:dyDescent="0.3">
      <c r="A466" s="44" t="str">
        <f t="shared" si="28"/>
        <v>11</v>
      </c>
      <c r="B466" s="41">
        <f t="shared" si="29"/>
        <v>1</v>
      </c>
      <c r="C466" s="41" t="str">
        <f t="shared" si="30"/>
        <v/>
      </c>
      <c r="D466" s="41">
        <f t="shared" si="31"/>
        <v>1</v>
      </c>
      <c r="E466" s="62"/>
      <c r="F466" s="1" t="s">
        <v>394</v>
      </c>
      <c r="G466" s="1">
        <v>465</v>
      </c>
      <c r="H466" s="4" t="s">
        <v>920</v>
      </c>
      <c r="I466" s="4" t="str">
        <f>IF(ISERROR(VLOOKUP(H466,#REF!,9,0)),"",VLOOKUP(H466,#REF!,9,0))</f>
        <v/>
      </c>
      <c r="J466" s="42" t="s">
        <v>896</v>
      </c>
      <c r="K466" s="1" t="s">
        <v>376</v>
      </c>
      <c r="L466" s="1" t="s">
        <v>47</v>
      </c>
      <c r="M466" s="43">
        <v>2022</v>
      </c>
      <c r="N466" s="42"/>
      <c r="O466" s="43" t="s">
        <v>10</v>
      </c>
      <c r="P466" s="43"/>
      <c r="Q466" s="43"/>
      <c r="R466" s="43"/>
      <c r="S466" s="43"/>
      <c r="T466" s="43"/>
      <c r="U466" s="42"/>
    </row>
    <row r="467" spans="1:21" ht="21" customHeight="1" x14ac:dyDescent="0.3">
      <c r="A467" s="44" t="str">
        <f t="shared" si="28"/>
        <v>1</v>
      </c>
      <c r="B467" s="41">
        <f t="shared" si="29"/>
        <v>1</v>
      </c>
      <c r="C467" s="41" t="str">
        <f t="shared" si="30"/>
        <v/>
      </c>
      <c r="D467" s="41" t="str">
        <f t="shared" si="31"/>
        <v/>
      </c>
      <c r="E467" s="62"/>
      <c r="F467" s="1" t="s">
        <v>394</v>
      </c>
      <c r="G467" s="1">
        <v>466</v>
      </c>
      <c r="H467" s="4" t="s">
        <v>436</v>
      </c>
      <c r="I467" s="4" t="str">
        <f>IF(ISERROR(VLOOKUP(H467,#REF!,9,0)),"",VLOOKUP(H467,#REF!,9,0))</f>
        <v/>
      </c>
      <c r="J467" s="42"/>
      <c r="K467" s="1" t="s">
        <v>376</v>
      </c>
      <c r="L467" s="1" t="s">
        <v>522</v>
      </c>
      <c r="M467" s="43">
        <v>2022</v>
      </c>
      <c r="N467" s="42"/>
      <c r="O467" s="43" t="s">
        <v>10</v>
      </c>
      <c r="P467" s="43"/>
      <c r="Q467" s="43"/>
      <c r="R467" s="43"/>
      <c r="S467" s="43"/>
      <c r="T467" s="43"/>
      <c r="U467" s="42"/>
    </row>
    <row r="468" spans="1:21" ht="21" customHeight="1" x14ac:dyDescent="0.3">
      <c r="A468" s="44" t="str">
        <f t="shared" si="28"/>
        <v>11</v>
      </c>
      <c r="B468" s="41">
        <f t="shared" si="29"/>
        <v>1</v>
      </c>
      <c r="C468" s="41" t="str">
        <f t="shared" si="30"/>
        <v/>
      </c>
      <c r="D468" s="41">
        <f t="shared" si="31"/>
        <v>1</v>
      </c>
      <c r="E468" s="62"/>
      <c r="F468" s="1" t="s">
        <v>394</v>
      </c>
      <c r="G468" s="1">
        <v>467</v>
      </c>
      <c r="H468" s="4" t="s">
        <v>921</v>
      </c>
      <c r="I468" s="4" t="str">
        <f>IF(ISERROR(VLOOKUP(H468,#REF!,9,0)),"",VLOOKUP(H468,#REF!,9,0))</f>
        <v/>
      </c>
      <c r="J468" s="42" t="s">
        <v>922</v>
      </c>
      <c r="K468" s="1" t="s">
        <v>376</v>
      </c>
      <c r="L468" s="1" t="s">
        <v>47</v>
      </c>
      <c r="M468" s="43">
        <v>2022</v>
      </c>
      <c r="N468" s="42"/>
      <c r="O468" s="43" t="s">
        <v>10</v>
      </c>
      <c r="P468" s="43"/>
      <c r="Q468" s="43"/>
      <c r="R468" s="43"/>
      <c r="S468" s="43"/>
      <c r="T468" s="43"/>
      <c r="U468" s="42"/>
    </row>
    <row r="469" spans="1:21" ht="21" customHeight="1" x14ac:dyDescent="0.3">
      <c r="A469" s="44" t="str">
        <f t="shared" si="28"/>
        <v>11</v>
      </c>
      <c r="B469" s="41">
        <f t="shared" si="29"/>
        <v>1</v>
      </c>
      <c r="C469" s="41" t="str">
        <f t="shared" si="30"/>
        <v/>
      </c>
      <c r="D469" s="41">
        <f t="shared" si="31"/>
        <v>1</v>
      </c>
      <c r="E469" s="62"/>
      <c r="F469" s="1" t="s">
        <v>377</v>
      </c>
      <c r="G469" s="1">
        <v>468</v>
      </c>
      <c r="H469" s="4" t="s">
        <v>923</v>
      </c>
      <c r="I469" s="4" t="str">
        <f>IF(ISERROR(VLOOKUP(H469,#REF!,9,0)),"",VLOOKUP(H469,#REF!,9,0))</f>
        <v/>
      </c>
      <c r="J469" s="42" t="s">
        <v>896</v>
      </c>
      <c r="K469" s="1" t="s">
        <v>376</v>
      </c>
      <c r="L469" s="1" t="s">
        <v>47</v>
      </c>
      <c r="M469" s="43">
        <v>2022</v>
      </c>
      <c r="N469" s="42" t="s">
        <v>924</v>
      </c>
      <c r="O469" s="43" t="s">
        <v>10</v>
      </c>
      <c r="P469" s="43"/>
      <c r="Q469" s="43"/>
      <c r="R469" s="43"/>
      <c r="S469" s="43"/>
      <c r="T469" s="43"/>
      <c r="U469" s="42"/>
    </row>
    <row r="470" spans="1:21" ht="21" customHeight="1" x14ac:dyDescent="0.3">
      <c r="A470" s="44" t="str">
        <f t="shared" si="28"/>
        <v>1</v>
      </c>
      <c r="B470" s="41">
        <f t="shared" si="29"/>
        <v>1</v>
      </c>
      <c r="C470" s="41" t="str">
        <f t="shared" si="30"/>
        <v/>
      </c>
      <c r="D470" s="41" t="str">
        <f t="shared" si="31"/>
        <v/>
      </c>
      <c r="E470" s="62"/>
      <c r="F470" s="1" t="s">
        <v>394</v>
      </c>
      <c r="G470" s="1">
        <v>469</v>
      </c>
      <c r="H470" s="4" t="s">
        <v>438</v>
      </c>
      <c r="I470" s="4" t="str">
        <f>IF(ISERROR(VLOOKUP(H470,#REF!,9,0)),"",VLOOKUP(H470,#REF!,9,0))</f>
        <v/>
      </c>
      <c r="J470" s="42"/>
      <c r="K470" s="1" t="s">
        <v>376</v>
      </c>
      <c r="L470" s="1" t="s">
        <v>522</v>
      </c>
      <c r="M470" s="43">
        <v>2022</v>
      </c>
      <c r="N470" s="42"/>
      <c r="O470" s="43" t="s">
        <v>10</v>
      </c>
      <c r="P470" s="43"/>
      <c r="Q470" s="43"/>
      <c r="R470" s="43"/>
      <c r="S470" s="43"/>
      <c r="T470" s="43"/>
      <c r="U470" s="42"/>
    </row>
    <row r="471" spans="1:21" ht="21" customHeight="1" x14ac:dyDescent="0.3">
      <c r="A471" s="44" t="str">
        <f t="shared" si="28"/>
        <v>11</v>
      </c>
      <c r="B471" s="41">
        <f t="shared" si="29"/>
        <v>1</v>
      </c>
      <c r="C471" s="41" t="str">
        <f t="shared" si="30"/>
        <v/>
      </c>
      <c r="D471" s="41">
        <f t="shared" si="31"/>
        <v>1</v>
      </c>
      <c r="E471" s="62"/>
      <c r="F471" s="1" t="s">
        <v>394</v>
      </c>
      <c r="G471" s="1">
        <v>470</v>
      </c>
      <c r="H471" s="4" t="s">
        <v>440</v>
      </c>
      <c r="I471" s="4" t="str">
        <f>IF(ISERROR(VLOOKUP(H471,#REF!,9,0)),"",VLOOKUP(H471,#REF!,9,0))</f>
        <v/>
      </c>
      <c r="J471" s="42" t="s">
        <v>925</v>
      </c>
      <c r="K471" s="1" t="s">
        <v>376</v>
      </c>
      <c r="L471" s="1" t="s">
        <v>521</v>
      </c>
      <c r="M471" s="43">
        <v>2022</v>
      </c>
      <c r="N471" s="42"/>
      <c r="O471" s="43" t="s">
        <v>10</v>
      </c>
      <c r="P471" s="43"/>
      <c r="Q471" s="43"/>
      <c r="R471" s="43"/>
      <c r="S471" s="43"/>
      <c r="T471" s="43"/>
      <c r="U471" s="42"/>
    </row>
    <row r="472" spans="1:21" ht="21" customHeight="1" x14ac:dyDescent="0.3">
      <c r="A472" s="44" t="str">
        <f t="shared" si="28"/>
        <v>11</v>
      </c>
      <c r="B472" s="41">
        <f t="shared" si="29"/>
        <v>1</v>
      </c>
      <c r="C472" s="41" t="str">
        <f t="shared" si="30"/>
        <v/>
      </c>
      <c r="D472" s="41">
        <f t="shared" si="31"/>
        <v>1</v>
      </c>
      <c r="E472" s="62"/>
      <c r="F472" s="1" t="s">
        <v>394</v>
      </c>
      <c r="G472" s="1">
        <v>471</v>
      </c>
      <c r="H472" s="4" t="s">
        <v>926</v>
      </c>
      <c r="I472" s="4" t="str">
        <f>IF(ISERROR(VLOOKUP(H472,#REF!,9,0)),"",VLOOKUP(H472,#REF!,9,0))</f>
        <v/>
      </c>
      <c r="J472" s="42" t="s">
        <v>927</v>
      </c>
      <c r="K472" s="1" t="s">
        <v>376</v>
      </c>
      <c r="L472" s="1" t="s">
        <v>47</v>
      </c>
      <c r="M472" s="43">
        <v>2022</v>
      </c>
      <c r="N472" s="42"/>
      <c r="O472" s="43" t="s">
        <v>10</v>
      </c>
      <c r="P472" s="43"/>
      <c r="Q472" s="43"/>
      <c r="R472" s="43"/>
      <c r="S472" s="43"/>
      <c r="T472" s="43"/>
      <c r="U472" s="42"/>
    </row>
    <row r="473" spans="1:21" ht="21" customHeight="1" x14ac:dyDescent="0.3">
      <c r="A473" s="44" t="str">
        <f t="shared" si="28"/>
        <v>1</v>
      </c>
      <c r="B473" s="41" t="str">
        <f t="shared" si="29"/>
        <v/>
      </c>
      <c r="C473" s="41" t="str">
        <f t="shared" si="30"/>
        <v/>
      </c>
      <c r="D473" s="41">
        <f t="shared" si="31"/>
        <v>1</v>
      </c>
      <c r="E473" s="62"/>
      <c r="F473" s="1"/>
      <c r="G473" s="1"/>
      <c r="H473" s="4"/>
      <c r="I473" s="4"/>
      <c r="J473" s="42" t="s">
        <v>896</v>
      </c>
      <c r="K473" s="1" t="s">
        <v>376</v>
      </c>
      <c r="L473" s="1" t="s">
        <v>47</v>
      </c>
      <c r="M473" s="43">
        <v>2022</v>
      </c>
      <c r="N473" s="42" t="s">
        <v>928</v>
      </c>
      <c r="O473" s="43" t="s">
        <v>10</v>
      </c>
      <c r="P473" s="43"/>
      <c r="Q473" s="43"/>
      <c r="R473" s="43"/>
      <c r="S473" s="43"/>
      <c r="T473" s="43"/>
      <c r="U473" s="42"/>
    </row>
    <row r="474" spans="1:21" ht="21" customHeight="1" x14ac:dyDescent="0.3">
      <c r="A474" s="44" t="str">
        <f t="shared" si="28"/>
        <v>1</v>
      </c>
      <c r="B474" s="41" t="str">
        <f t="shared" si="29"/>
        <v/>
      </c>
      <c r="C474" s="41" t="str">
        <f t="shared" si="30"/>
        <v/>
      </c>
      <c r="D474" s="41">
        <f t="shared" si="31"/>
        <v>1</v>
      </c>
      <c r="E474" s="62"/>
      <c r="F474" s="1"/>
      <c r="G474" s="1"/>
      <c r="H474" s="4"/>
      <c r="I474" s="4"/>
      <c r="J474" s="42" t="s">
        <v>896</v>
      </c>
      <c r="K474" s="1" t="s">
        <v>376</v>
      </c>
      <c r="L474" s="1" t="s">
        <v>47</v>
      </c>
      <c r="M474" s="43">
        <v>2022</v>
      </c>
      <c r="N474" s="42" t="s">
        <v>929</v>
      </c>
      <c r="O474" s="43" t="s">
        <v>10</v>
      </c>
      <c r="P474" s="43"/>
      <c r="Q474" s="43"/>
      <c r="R474" s="43"/>
      <c r="S474" s="43"/>
      <c r="T474" s="43"/>
      <c r="U474" s="42"/>
    </row>
    <row r="475" spans="1:21" ht="21" customHeight="1" x14ac:dyDescent="0.3">
      <c r="A475" s="44" t="str">
        <f t="shared" si="28"/>
        <v>11</v>
      </c>
      <c r="B475" s="41">
        <f t="shared" si="29"/>
        <v>1</v>
      </c>
      <c r="C475" s="41" t="str">
        <f t="shared" si="30"/>
        <v/>
      </c>
      <c r="D475" s="41">
        <f t="shared" si="31"/>
        <v>1</v>
      </c>
      <c r="E475" s="62"/>
      <c r="F475" s="1" t="s">
        <v>377</v>
      </c>
      <c r="G475" s="1">
        <v>472</v>
      </c>
      <c r="H475" s="4" t="s">
        <v>930</v>
      </c>
      <c r="I475" s="4" t="str">
        <f>IF(ISERROR(VLOOKUP(H475,#REF!,9,0)),"",VLOOKUP(H475,#REF!,9,0))</f>
        <v/>
      </c>
      <c r="J475" s="42" t="s">
        <v>896</v>
      </c>
      <c r="K475" s="1" t="s">
        <v>376</v>
      </c>
      <c r="L475" s="1" t="s">
        <v>47</v>
      </c>
      <c r="M475" s="43">
        <v>2022</v>
      </c>
      <c r="N475" s="42" t="s">
        <v>931</v>
      </c>
      <c r="O475" s="43" t="s">
        <v>10</v>
      </c>
      <c r="P475" s="43"/>
      <c r="Q475" s="43"/>
      <c r="R475" s="43"/>
      <c r="S475" s="43"/>
      <c r="T475" s="43"/>
      <c r="U475" s="42"/>
    </row>
    <row r="476" spans="1:21" ht="21" customHeight="1" x14ac:dyDescent="0.3">
      <c r="A476" s="44" t="str">
        <f t="shared" si="28"/>
        <v>1</v>
      </c>
      <c r="B476" s="41">
        <f t="shared" si="29"/>
        <v>1</v>
      </c>
      <c r="C476" s="41" t="str">
        <f t="shared" si="30"/>
        <v/>
      </c>
      <c r="D476" s="41" t="str">
        <f t="shared" si="31"/>
        <v/>
      </c>
      <c r="E476" s="62"/>
      <c r="F476" s="1" t="s">
        <v>394</v>
      </c>
      <c r="G476" s="1">
        <v>473</v>
      </c>
      <c r="H476" s="4" t="s">
        <v>442</v>
      </c>
      <c r="I476" s="4" t="str">
        <f>IF(ISERROR(VLOOKUP(H476,#REF!,9,0)),"",VLOOKUP(H476,#REF!,9,0))</f>
        <v/>
      </c>
      <c r="J476" s="42"/>
      <c r="K476" s="1" t="s">
        <v>376</v>
      </c>
      <c r="L476" s="1" t="s">
        <v>522</v>
      </c>
      <c r="M476" s="43">
        <v>2022</v>
      </c>
      <c r="N476" s="42"/>
      <c r="O476" s="43" t="s">
        <v>10</v>
      </c>
      <c r="P476" s="43"/>
      <c r="Q476" s="43"/>
      <c r="R476" s="43"/>
      <c r="S476" s="43"/>
      <c r="T476" s="43"/>
      <c r="U476" s="42"/>
    </row>
    <row r="477" spans="1:21" ht="21" customHeight="1" x14ac:dyDescent="0.3">
      <c r="A477" s="44" t="str">
        <f t="shared" si="28"/>
        <v>11</v>
      </c>
      <c r="B477" s="41">
        <f t="shared" si="29"/>
        <v>1</v>
      </c>
      <c r="C477" s="41" t="str">
        <f t="shared" si="30"/>
        <v/>
      </c>
      <c r="D477" s="41">
        <f t="shared" si="31"/>
        <v>1</v>
      </c>
      <c r="E477" s="62"/>
      <c r="F477" s="1" t="s">
        <v>377</v>
      </c>
      <c r="G477" s="1">
        <v>474</v>
      </c>
      <c r="H477" s="4" t="s">
        <v>932</v>
      </c>
      <c r="I477" s="4" t="str">
        <f>IF(ISERROR(VLOOKUP(H477,#REF!,9,0)),"",VLOOKUP(H477,#REF!,9,0))</f>
        <v/>
      </c>
      <c r="J477" s="42" t="s">
        <v>896</v>
      </c>
      <c r="K477" s="1" t="s">
        <v>376</v>
      </c>
      <c r="L477" s="1" t="s">
        <v>47</v>
      </c>
      <c r="M477" s="43">
        <v>2022</v>
      </c>
      <c r="N477" s="42" t="s">
        <v>933</v>
      </c>
      <c r="O477" s="43" t="s">
        <v>10</v>
      </c>
      <c r="P477" s="43"/>
      <c r="Q477" s="43"/>
      <c r="R477" s="43"/>
      <c r="S477" s="43"/>
      <c r="T477" s="43"/>
      <c r="U477" s="42"/>
    </row>
    <row r="478" spans="1:21" ht="21" customHeight="1" x14ac:dyDescent="0.3">
      <c r="A478" s="44" t="str">
        <f t="shared" si="28"/>
        <v>1</v>
      </c>
      <c r="B478" s="41">
        <f t="shared" si="29"/>
        <v>1</v>
      </c>
      <c r="C478" s="41" t="str">
        <f t="shared" si="30"/>
        <v/>
      </c>
      <c r="D478" s="41" t="str">
        <f t="shared" si="31"/>
        <v/>
      </c>
      <c r="E478" s="62"/>
      <c r="F478" s="1" t="s">
        <v>394</v>
      </c>
      <c r="G478" s="1">
        <v>475</v>
      </c>
      <c r="H478" s="4" t="s">
        <v>444</v>
      </c>
      <c r="I478" s="4" t="str">
        <f>IF(ISERROR(VLOOKUP(H478,#REF!,9,0)),"",VLOOKUP(H478,#REF!,9,0))</f>
        <v/>
      </c>
      <c r="J478" s="42"/>
      <c r="K478" s="1" t="s">
        <v>376</v>
      </c>
      <c r="L478" s="1" t="s">
        <v>522</v>
      </c>
      <c r="M478" s="43">
        <v>2022</v>
      </c>
      <c r="N478" s="42"/>
      <c r="O478" s="43" t="s">
        <v>10</v>
      </c>
      <c r="P478" s="43"/>
      <c r="Q478" s="43"/>
      <c r="R478" s="43"/>
      <c r="S478" s="43"/>
      <c r="T478" s="43"/>
      <c r="U478" s="42"/>
    </row>
    <row r="479" spans="1:21" ht="21" customHeight="1" x14ac:dyDescent="0.3">
      <c r="A479" s="44" t="str">
        <f t="shared" si="28"/>
        <v>1</v>
      </c>
      <c r="B479" s="41" t="str">
        <f t="shared" si="29"/>
        <v/>
      </c>
      <c r="C479" s="41" t="str">
        <f t="shared" si="30"/>
        <v/>
      </c>
      <c r="D479" s="41">
        <f t="shared" si="31"/>
        <v>1</v>
      </c>
      <c r="E479" s="62" t="s">
        <v>446</v>
      </c>
      <c r="F479" s="1"/>
      <c r="G479" s="1">
        <v>476</v>
      </c>
      <c r="H479" s="4"/>
      <c r="I479" s="4" t="str">
        <f>IF(ISERROR(VLOOKUP(H479,#REF!,9,0)),"",VLOOKUP(H479,#REF!,9,0))</f>
        <v/>
      </c>
      <c r="J479" s="42" t="s">
        <v>934</v>
      </c>
      <c r="K479" s="1" t="s">
        <v>446</v>
      </c>
      <c r="L479" s="1" t="s">
        <v>47</v>
      </c>
      <c r="M479" s="43">
        <v>2022</v>
      </c>
      <c r="N479" s="42"/>
      <c r="O479" s="43" t="s">
        <v>70</v>
      </c>
      <c r="P479" s="43"/>
      <c r="Q479" s="43"/>
      <c r="R479" s="43"/>
      <c r="S479" s="43"/>
      <c r="T479" s="43"/>
      <c r="U479" s="42" t="s">
        <v>691</v>
      </c>
    </row>
    <row r="480" spans="1:21" ht="21" customHeight="1" x14ac:dyDescent="0.3">
      <c r="A480" s="44" t="str">
        <f t="shared" si="28"/>
        <v>1</v>
      </c>
      <c r="B480" s="41" t="str">
        <f t="shared" si="29"/>
        <v/>
      </c>
      <c r="C480" s="41" t="str">
        <f t="shared" si="30"/>
        <v/>
      </c>
      <c r="D480" s="41">
        <f t="shared" si="31"/>
        <v>1</v>
      </c>
      <c r="E480" s="62"/>
      <c r="F480" s="1"/>
      <c r="G480" s="1">
        <v>477</v>
      </c>
      <c r="H480" s="4"/>
      <c r="I480" s="4" t="str">
        <f>IF(ISERROR(VLOOKUP(H480,#REF!,9,0)),"",VLOOKUP(H480,#REF!,9,0))</f>
        <v/>
      </c>
      <c r="J480" s="42" t="s">
        <v>935</v>
      </c>
      <c r="K480" s="1" t="s">
        <v>446</v>
      </c>
      <c r="L480" s="1" t="s">
        <v>47</v>
      </c>
      <c r="M480" s="43">
        <v>2022</v>
      </c>
      <c r="N480" s="42"/>
      <c r="O480" s="43" t="s">
        <v>70</v>
      </c>
      <c r="P480" s="43"/>
      <c r="Q480" s="43"/>
      <c r="R480" s="43"/>
      <c r="S480" s="43"/>
      <c r="T480" s="43"/>
      <c r="U480" s="42" t="s">
        <v>691</v>
      </c>
    </row>
    <row r="481" spans="1:21" ht="21" customHeight="1" x14ac:dyDescent="0.3">
      <c r="A481" s="44" t="str">
        <f t="shared" si="28"/>
        <v>1</v>
      </c>
      <c r="B481" s="41" t="str">
        <f t="shared" si="29"/>
        <v/>
      </c>
      <c r="C481" s="41" t="str">
        <f t="shared" si="30"/>
        <v/>
      </c>
      <c r="D481" s="41">
        <f t="shared" si="31"/>
        <v>1</v>
      </c>
      <c r="E481" s="62"/>
      <c r="F481" s="1"/>
      <c r="G481" s="1">
        <v>478</v>
      </c>
      <c r="H481" s="4"/>
      <c r="I481" s="4" t="str">
        <f>IF(ISERROR(VLOOKUP(H481,#REF!,9,0)),"",VLOOKUP(H481,#REF!,9,0))</f>
        <v/>
      </c>
      <c r="J481" s="42" t="s">
        <v>936</v>
      </c>
      <c r="K481" s="1" t="s">
        <v>446</v>
      </c>
      <c r="L481" s="1" t="s">
        <v>47</v>
      </c>
      <c r="M481" s="43">
        <v>2022</v>
      </c>
      <c r="N481" s="42"/>
      <c r="O481" s="43" t="s">
        <v>70</v>
      </c>
      <c r="P481" s="43"/>
      <c r="Q481" s="43"/>
      <c r="R481" s="43"/>
      <c r="S481" s="43"/>
      <c r="T481" s="43"/>
      <c r="U481" s="42" t="s">
        <v>691</v>
      </c>
    </row>
    <row r="482" spans="1:21" ht="21" customHeight="1" x14ac:dyDescent="0.3">
      <c r="A482" s="44" t="str">
        <f t="shared" si="28"/>
        <v>1</v>
      </c>
      <c r="B482" s="41" t="str">
        <f t="shared" si="29"/>
        <v/>
      </c>
      <c r="C482" s="41" t="str">
        <f t="shared" si="30"/>
        <v/>
      </c>
      <c r="D482" s="41">
        <f t="shared" si="31"/>
        <v>1</v>
      </c>
      <c r="E482" s="62"/>
      <c r="F482" s="1"/>
      <c r="G482" s="1">
        <v>479</v>
      </c>
      <c r="H482" s="4"/>
      <c r="I482" s="4" t="str">
        <f>IF(ISERROR(VLOOKUP(H482,#REF!,9,0)),"",VLOOKUP(H482,#REF!,9,0))</f>
        <v/>
      </c>
      <c r="J482" s="42" t="s">
        <v>937</v>
      </c>
      <c r="K482" s="1" t="s">
        <v>446</v>
      </c>
      <c r="L482" s="1" t="s">
        <v>47</v>
      </c>
      <c r="M482" s="43">
        <v>2022</v>
      </c>
      <c r="N482" s="42"/>
      <c r="O482" s="43" t="s">
        <v>70</v>
      </c>
      <c r="P482" s="43"/>
      <c r="Q482" s="43"/>
      <c r="R482" s="43"/>
      <c r="S482" s="43"/>
      <c r="T482" s="43"/>
      <c r="U482" s="42" t="s">
        <v>691</v>
      </c>
    </row>
    <row r="483" spans="1:21" ht="21" customHeight="1" x14ac:dyDescent="0.3">
      <c r="A483" s="44" t="str">
        <f t="shared" si="28"/>
        <v>1</v>
      </c>
      <c r="B483" s="41" t="str">
        <f t="shared" si="29"/>
        <v/>
      </c>
      <c r="C483" s="41" t="str">
        <f t="shared" si="30"/>
        <v/>
      </c>
      <c r="D483" s="41">
        <f t="shared" si="31"/>
        <v>1</v>
      </c>
      <c r="E483" s="62"/>
      <c r="F483" s="1"/>
      <c r="G483" s="1">
        <v>480</v>
      </c>
      <c r="H483" s="4"/>
      <c r="I483" s="4" t="str">
        <f>IF(ISERROR(VLOOKUP(H483,#REF!,9,0)),"",VLOOKUP(H483,#REF!,9,0))</f>
        <v/>
      </c>
      <c r="J483" s="42" t="s">
        <v>938</v>
      </c>
      <c r="K483" s="1" t="s">
        <v>446</v>
      </c>
      <c r="L483" s="1" t="s">
        <v>47</v>
      </c>
      <c r="M483" s="43">
        <v>2022</v>
      </c>
      <c r="N483" s="42"/>
      <c r="O483" s="43" t="s">
        <v>70</v>
      </c>
      <c r="P483" s="43"/>
      <c r="Q483" s="43"/>
      <c r="R483" s="43"/>
      <c r="S483" s="43"/>
      <c r="T483" s="43"/>
      <c r="U483" s="42" t="s">
        <v>691</v>
      </c>
    </row>
    <row r="484" spans="1:21" ht="21" customHeight="1" x14ac:dyDescent="0.3">
      <c r="A484" s="44" t="str">
        <f t="shared" si="28"/>
        <v>1</v>
      </c>
      <c r="B484" s="41" t="str">
        <f t="shared" si="29"/>
        <v/>
      </c>
      <c r="C484" s="41" t="str">
        <f t="shared" si="30"/>
        <v/>
      </c>
      <c r="D484" s="41">
        <f t="shared" si="31"/>
        <v>1</v>
      </c>
      <c r="E484" s="62"/>
      <c r="F484" s="1"/>
      <c r="G484" s="1">
        <v>481</v>
      </c>
      <c r="H484" s="4"/>
      <c r="I484" s="4"/>
      <c r="J484" s="42" t="s">
        <v>939</v>
      </c>
      <c r="K484" s="1" t="s">
        <v>446</v>
      </c>
      <c r="L484" s="1" t="s">
        <v>47</v>
      </c>
      <c r="M484" s="43"/>
      <c r="N484" s="42"/>
      <c r="O484" s="43"/>
      <c r="P484" s="43"/>
      <c r="Q484" s="43"/>
      <c r="R484" s="43"/>
      <c r="S484" s="43"/>
      <c r="T484" s="43"/>
      <c r="U484" s="42"/>
    </row>
    <row r="485" spans="1:21" ht="21" customHeight="1" x14ac:dyDescent="0.3">
      <c r="A485" s="44" t="str">
        <f t="shared" si="28"/>
        <v>1</v>
      </c>
      <c r="B485" s="41" t="str">
        <f t="shared" si="29"/>
        <v/>
      </c>
      <c r="C485" s="41" t="str">
        <f t="shared" si="30"/>
        <v/>
      </c>
      <c r="D485" s="41">
        <f t="shared" si="31"/>
        <v>1</v>
      </c>
      <c r="E485" s="62"/>
      <c r="F485" s="1"/>
      <c r="G485" s="1">
        <v>482</v>
      </c>
      <c r="H485" s="4"/>
      <c r="I485" s="4"/>
      <c r="J485" s="42" t="s">
        <v>940</v>
      </c>
      <c r="K485" s="1" t="s">
        <v>446</v>
      </c>
      <c r="L485" s="1" t="s">
        <v>47</v>
      </c>
      <c r="M485" s="43"/>
      <c r="N485" s="42"/>
      <c r="O485" s="43"/>
      <c r="P485" s="43"/>
      <c r="Q485" s="43"/>
      <c r="R485" s="43"/>
      <c r="S485" s="43"/>
      <c r="T485" s="43"/>
      <c r="U485" s="42"/>
    </row>
    <row r="486" spans="1:21" ht="21" customHeight="1" x14ac:dyDescent="0.3">
      <c r="A486" s="44" t="str">
        <f t="shared" si="28"/>
        <v>1</v>
      </c>
      <c r="B486" s="41" t="str">
        <f t="shared" si="29"/>
        <v/>
      </c>
      <c r="C486" s="41" t="str">
        <f t="shared" si="30"/>
        <v/>
      </c>
      <c r="D486" s="41">
        <f t="shared" si="31"/>
        <v>1</v>
      </c>
      <c r="E486" s="62"/>
      <c r="F486" s="1"/>
      <c r="G486" s="1">
        <v>483</v>
      </c>
      <c r="H486" s="4"/>
      <c r="I486" s="4"/>
      <c r="J486" s="42" t="s">
        <v>941</v>
      </c>
      <c r="K486" s="1" t="s">
        <v>446</v>
      </c>
      <c r="L486" s="1" t="s">
        <v>47</v>
      </c>
      <c r="M486" s="43"/>
      <c r="N486" s="42"/>
      <c r="O486" s="43"/>
      <c r="P486" s="43"/>
      <c r="Q486" s="43"/>
      <c r="R486" s="43"/>
      <c r="S486" s="43"/>
      <c r="T486" s="43"/>
      <c r="U486" s="42"/>
    </row>
    <row r="487" spans="1:21" ht="21" customHeight="1" x14ac:dyDescent="0.3">
      <c r="A487" s="44" t="str">
        <f t="shared" si="28"/>
        <v>1</v>
      </c>
      <c r="B487" s="41" t="str">
        <f t="shared" si="29"/>
        <v/>
      </c>
      <c r="C487" s="41" t="str">
        <f t="shared" si="30"/>
        <v/>
      </c>
      <c r="D487" s="41">
        <f t="shared" si="31"/>
        <v>1</v>
      </c>
      <c r="E487" s="62"/>
      <c r="F487" s="1"/>
      <c r="G487" s="1">
        <v>484</v>
      </c>
      <c r="H487" s="4"/>
      <c r="I487" s="4"/>
      <c r="J487" s="42" t="s">
        <v>942</v>
      </c>
      <c r="K487" s="1" t="s">
        <v>446</v>
      </c>
      <c r="L487" s="1" t="s">
        <v>47</v>
      </c>
      <c r="M487" s="43"/>
      <c r="N487" s="42"/>
      <c r="O487" s="43"/>
      <c r="P487" s="43"/>
      <c r="Q487" s="43"/>
      <c r="R487" s="43"/>
      <c r="S487" s="43"/>
      <c r="T487" s="43"/>
      <c r="U487" s="42"/>
    </row>
    <row r="488" spans="1:21" ht="21" customHeight="1" x14ac:dyDescent="0.3">
      <c r="A488" s="44" t="str">
        <f t="shared" si="28"/>
        <v>1</v>
      </c>
      <c r="B488" s="41">
        <f t="shared" si="29"/>
        <v>1</v>
      </c>
      <c r="C488" s="41" t="str">
        <f t="shared" si="30"/>
        <v/>
      </c>
      <c r="D488" s="41" t="str">
        <f t="shared" si="31"/>
        <v/>
      </c>
      <c r="E488" s="62"/>
      <c r="F488" s="1"/>
      <c r="G488" s="1">
        <v>485</v>
      </c>
      <c r="H488" s="4" t="s">
        <v>447</v>
      </c>
      <c r="I488" s="4" t="str">
        <f>IF(ISERROR(VLOOKUP(H488,#REF!,9,0)),"",VLOOKUP(H488,#REF!,9,0))</f>
        <v/>
      </c>
      <c r="J488" s="42"/>
      <c r="K488" s="1" t="s">
        <v>446</v>
      </c>
      <c r="L488" s="1" t="s">
        <v>522</v>
      </c>
      <c r="M488" s="43">
        <v>2022</v>
      </c>
      <c r="N488" s="42"/>
      <c r="O488" s="43" t="s">
        <v>70</v>
      </c>
      <c r="P488" s="43"/>
      <c r="Q488" s="43"/>
      <c r="R488" s="43"/>
      <c r="S488" s="43"/>
      <c r="T488" s="43"/>
      <c r="U488" s="42" t="s">
        <v>691</v>
      </c>
    </row>
    <row r="489" spans="1:21" ht="21" customHeight="1" x14ac:dyDescent="0.3">
      <c r="A489" s="44" t="str">
        <f t="shared" si="28"/>
        <v>1</v>
      </c>
      <c r="B489" s="41">
        <f t="shared" si="29"/>
        <v>1</v>
      </c>
      <c r="C489" s="41" t="str">
        <f t="shared" si="30"/>
        <v/>
      </c>
      <c r="D489" s="41" t="str">
        <f t="shared" si="31"/>
        <v/>
      </c>
      <c r="E489" s="62"/>
      <c r="F489" s="1"/>
      <c r="G489" s="1">
        <v>486</v>
      </c>
      <c r="H489" s="4" t="s">
        <v>449</v>
      </c>
      <c r="I489" s="4" t="str">
        <f>IF(ISERROR(VLOOKUP(H489,#REF!,9,0)),"",VLOOKUP(H489,#REF!,9,0))</f>
        <v/>
      </c>
      <c r="J489" s="42"/>
      <c r="K489" s="1" t="s">
        <v>446</v>
      </c>
      <c r="L489" s="1" t="s">
        <v>521</v>
      </c>
      <c r="M489" s="43">
        <v>2022</v>
      </c>
      <c r="N489" s="42"/>
      <c r="O489" s="43" t="s">
        <v>70</v>
      </c>
      <c r="P489" s="43"/>
      <c r="Q489" s="43"/>
      <c r="R489" s="43"/>
      <c r="S489" s="43"/>
      <c r="T489" s="43"/>
      <c r="U489" s="42" t="s">
        <v>691</v>
      </c>
    </row>
    <row r="490" spans="1:21" ht="21" customHeight="1" x14ac:dyDescent="0.3">
      <c r="A490" s="44" t="str">
        <f t="shared" si="28"/>
        <v>1</v>
      </c>
      <c r="B490" s="41">
        <f t="shared" si="29"/>
        <v>1</v>
      </c>
      <c r="C490" s="41" t="str">
        <f t="shared" si="30"/>
        <v/>
      </c>
      <c r="D490" s="41" t="str">
        <f t="shared" si="31"/>
        <v/>
      </c>
      <c r="E490" s="62"/>
      <c r="F490" s="1"/>
      <c r="G490" s="1">
        <v>487</v>
      </c>
      <c r="H490" s="4" t="s">
        <v>449</v>
      </c>
      <c r="I490" s="4" t="str">
        <f>IF(ISERROR(VLOOKUP(H490,#REF!,9,0)),"",VLOOKUP(H490,#REF!,9,0))</f>
        <v/>
      </c>
      <c r="J490" s="42"/>
      <c r="K490" s="1" t="s">
        <v>446</v>
      </c>
      <c r="L490" s="1" t="s">
        <v>521</v>
      </c>
      <c r="M490" s="43">
        <v>2022</v>
      </c>
      <c r="N490" s="42"/>
      <c r="O490" s="43" t="s">
        <v>70</v>
      </c>
      <c r="P490" s="43"/>
      <c r="Q490" s="43"/>
      <c r="R490" s="43"/>
      <c r="S490" s="43"/>
      <c r="T490" s="43"/>
      <c r="U490" s="42" t="s">
        <v>691</v>
      </c>
    </row>
    <row r="491" spans="1:21" ht="21" customHeight="1" x14ac:dyDescent="0.3">
      <c r="A491" s="44" t="str">
        <f t="shared" si="28"/>
        <v>11</v>
      </c>
      <c r="B491" s="41">
        <f t="shared" si="29"/>
        <v>1</v>
      </c>
      <c r="C491" s="41" t="str">
        <f t="shared" si="30"/>
        <v/>
      </c>
      <c r="D491" s="41">
        <f t="shared" si="31"/>
        <v>1</v>
      </c>
      <c r="E491" s="62"/>
      <c r="F491" s="1"/>
      <c r="G491" s="1">
        <v>488</v>
      </c>
      <c r="H491" s="4" t="s">
        <v>943</v>
      </c>
      <c r="I491" s="4" t="str">
        <f>IF(ISERROR(VLOOKUP(H491,#REF!,9,0)),"",VLOOKUP(H491,#REF!,9,0))</f>
        <v/>
      </c>
      <c r="J491" s="42" t="s">
        <v>944</v>
      </c>
      <c r="K491" s="1" t="s">
        <v>446</v>
      </c>
      <c r="L491" s="1" t="s">
        <v>47</v>
      </c>
      <c r="M491" s="43">
        <v>2022</v>
      </c>
      <c r="N491" s="42"/>
      <c r="O491" s="43" t="s">
        <v>237</v>
      </c>
      <c r="P491" s="43"/>
      <c r="Q491" s="43"/>
      <c r="R491" s="43"/>
      <c r="S491" s="43"/>
      <c r="T491" s="43"/>
      <c r="U491" s="42" t="s">
        <v>691</v>
      </c>
    </row>
    <row r="492" spans="1:21" ht="21" customHeight="1" x14ac:dyDescent="0.3">
      <c r="A492" s="44" t="str">
        <f t="shared" si="28"/>
        <v>11</v>
      </c>
      <c r="B492" s="41">
        <f t="shared" si="29"/>
        <v>1</v>
      </c>
      <c r="C492" s="41" t="str">
        <f t="shared" si="30"/>
        <v/>
      </c>
      <c r="D492" s="41">
        <f t="shared" si="31"/>
        <v>1</v>
      </c>
      <c r="E492" s="62"/>
      <c r="F492" s="1"/>
      <c r="G492" s="1">
        <v>489</v>
      </c>
      <c r="H492" s="4" t="s">
        <v>451</v>
      </c>
      <c r="I492" s="4" t="str">
        <f>IF(ISERROR(VLOOKUP(H492,#REF!,9,0)),"",VLOOKUP(H492,#REF!,9,0))</f>
        <v/>
      </c>
      <c r="J492" s="42" t="s">
        <v>451</v>
      </c>
      <c r="K492" s="1" t="s">
        <v>446</v>
      </c>
      <c r="L492" s="1" t="s">
        <v>945</v>
      </c>
      <c r="M492" s="43">
        <v>2022</v>
      </c>
      <c r="N492" s="42"/>
      <c r="O492" s="43" t="s">
        <v>70</v>
      </c>
      <c r="P492" s="43"/>
      <c r="Q492" s="43"/>
      <c r="R492" s="43"/>
      <c r="S492" s="43"/>
      <c r="T492" s="43"/>
      <c r="U492" s="42" t="s">
        <v>691</v>
      </c>
    </row>
    <row r="493" spans="1:21" ht="21" customHeight="1" x14ac:dyDescent="0.3">
      <c r="A493" s="44" t="str">
        <f t="shared" si="28"/>
        <v>1</v>
      </c>
      <c r="B493" s="41">
        <f t="shared" si="29"/>
        <v>1</v>
      </c>
      <c r="C493" s="41" t="str">
        <f t="shared" si="30"/>
        <v/>
      </c>
      <c r="D493" s="41" t="str">
        <f t="shared" si="31"/>
        <v/>
      </c>
      <c r="E493" s="62"/>
      <c r="F493" s="1"/>
      <c r="G493" s="1">
        <v>490</v>
      </c>
      <c r="H493" s="4" t="s">
        <v>453</v>
      </c>
      <c r="I493" s="4" t="str">
        <f>IF(ISERROR(VLOOKUP(H493,#REF!,9,0)),"",VLOOKUP(H493,#REF!,9,0))</f>
        <v/>
      </c>
      <c r="J493" s="42"/>
      <c r="K493" s="1" t="s">
        <v>446</v>
      </c>
      <c r="L493" s="1" t="s">
        <v>521</v>
      </c>
      <c r="M493" s="43">
        <v>2022</v>
      </c>
      <c r="N493" s="42"/>
      <c r="O493" s="43" t="s">
        <v>70</v>
      </c>
      <c r="P493" s="43"/>
      <c r="Q493" s="43"/>
      <c r="R493" s="43"/>
      <c r="S493" s="43"/>
      <c r="T493" s="43"/>
      <c r="U493" s="42" t="s">
        <v>691</v>
      </c>
    </row>
    <row r="494" spans="1:21" ht="21" customHeight="1" x14ac:dyDescent="0.3">
      <c r="A494" s="44" t="str">
        <f t="shared" si="28"/>
        <v>11</v>
      </c>
      <c r="B494" s="41">
        <f t="shared" si="29"/>
        <v>1</v>
      </c>
      <c r="C494" s="41" t="str">
        <f t="shared" si="30"/>
        <v/>
      </c>
      <c r="D494" s="41">
        <f t="shared" si="31"/>
        <v>1</v>
      </c>
      <c r="E494" s="62"/>
      <c r="F494" s="1"/>
      <c r="G494" s="1">
        <v>491</v>
      </c>
      <c r="H494" s="4" t="s">
        <v>455</v>
      </c>
      <c r="I494" s="4" t="str">
        <f>IF(ISERROR(VLOOKUP(H494,#REF!,9,0)),"",VLOOKUP(H494,#REF!,9,0))</f>
        <v/>
      </c>
      <c r="J494" s="42" t="s">
        <v>938</v>
      </c>
      <c r="K494" s="1" t="s">
        <v>446</v>
      </c>
      <c r="L494" s="1" t="s">
        <v>945</v>
      </c>
      <c r="M494" s="43">
        <v>2022</v>
      </c>
      <c r="N494" s="42"/>
      <c r="O494" s="43" t="s">
        <v>70</v>
      </c>
      <c r="P494" s="43"/>
      <c r="Q494" s="43"/>
      <c r="R494" s="43"/>
      <c r="S494" s="43"/>
      <c r="T494" s="43"/>
      <c r="U494" s="42" t="s">
        <v>691</v>
      </c>
    </row>
    <row r="495" spans="1:21" ht="21" customHeight="1" x14ac:dyDescent="0.3">
      <c r="A495" s="44" t="str">
        <f t="shared" si="28"/>
        <v>1</v>
      </c>
      <c r="B495" s="41">
        <f t="shared" si="29"/>
        <v>1</v>
      </c>
      <c r="C495" s="41" t="str">
        <f t="shared" si="30"/>
        <v/>
      </c>
      <c r="D495" s="41" t="str">
        <f t="shared" si="31"/>
        <v/>
      </c>
      <c r="E495" s="62"/>
      <c r="F495" s="1"/>
      <c r="G495" s="1">
        <v>492</v>
      </c>
      <c r="H495" s="4" t="s">
        <v>457</v>
      </c>
      <c r="I495" s="4" t="str">
        <f>IF(ISERROR(VLOOKUP(H495,#REF!,9,0)),"",VLOOKUP(H495,#REF!,9,0))</f>
        <v/>
      </c>
      <c r="J495" s="42"/>
      <c r="K495" s="1" t="s">
        <v>446</v>
      </c>
      <c r="L495" s="1" t="s">
        <v>521</v>
      </c>
      <c r="M495" s="43">
        <v>2022</v>
      </c>
      <c r="N495" s="42"/>
      <c r="O495" s="43" t="s">
        <v>70</v>
      </c>
      <c r="P495" s="43"/>
      <c r="Q495" s="43"/>
      <c r="R495" s="43"/>
      <c r="S495" s="43"/>
      <c r="T495" s="43"/>
      <c r="U495" s="42" t="s">
        <v>691</v>
      </c>
    </row>
    <row r="496" spans="1:21" ht="21" customHeight="1" x14ac:dyDescent="0.3">
      <c r="A496" s="44" t="str">
        <f t="shared" si="28"/>
        <v>1</v>
      </c>
      <c r="B496" s="41">
        <f t="shared" si="29"/>
        <v>1</v>
      </c>
      <c r="C496" s="41" t="str">
        <f t="shared" si="30"/>
        <v/>
      </c>
      <c r="D496" s="41" t="str">
        <f t="shared" si="31"/>
        <v/>
      </c>
      <c r="E496" s="62"/>
      <c r="F496" s="1"/>
      <c r="G496" s="1">
        <v>493</v>
      </c>
      <c r="H496" s="4" t="s">
        <v>459</v>
      </c>
      <c r="I496" s="4" t="str">
        <f>IF(ISERROR(VLOOKUP(H496,#REF!,9,0)),"",VLOOKUP(H496,#REF!,9,0))</f>
        <v/>
      </c>
      <c r="J496" s="42"/>
      <c r="K496" s="1" t="s">
        <v>446</v>
      </c>
      <c r="L496" s="1" t="s">
        <v>521</v>
      </c>
      <c r="M496" s="43">
        <v>2022</v>
      </c>
      <c r="N496" s="42"/>
      <c r="O496" s="43" t="s">
        <v>70</v>
      </c>
      <c r="P496" s="43"/>
      <c r="Q496" s="43"/>
      <c r="R496" s="43"/>
      <c r="S496" s="43"/>
      <c r="T496" s="43"/>
      <c r="U496" s="42" t="s">
        <v>691</v>
      </c>
    </row>
    <row r="497" spans="1:21" ht="21" customHeight="1" x14ac:dyDescent="0.3">
      <c r="A497" s="44" t="str">
        <f t="shared" si="28"/>
        <v>1</v>
      </c>
      <c r="B497" s="41">
        <f t="shared" si="29"/>
        <v>1</v>
      </c>
      <c r="C497" s="41" t="str">
        <f t="shared" si="30"/>
        <v/>
      </c>
      <c r="D497" s="41" t="str">
        <f t="shared" si="31"/>
        <v/>
      </c>
      <c r="E497" s="62"/>
      <c r="F497" s="1"/>
      <c r="G497" s="1">
        <v>494</v>
      </c>
      <c r="H497" s="4" t="s">
        <v>461</v>
      </c>
      <c r="I497" s="4" t="str">
        <f>IF(ISERROR(VLOOKUP(H497,#REF!,9,0)),"",VLOOKUP(H497,#REF!,9,0))</f>
        <v/>
      </c>
      <c r="J497" s="42"/>
      <c r="K497" s="1" t="s">
        <v>446</v>
      </c>
      <c r="L497" s="1" t="s">
        <v>521</v>
      </c>
      <c r="M497" s="43">
        <v>2022</v>
      </c>
      <c r="N497" s="42"/>
      <c r="O497" s="43" t="s">
        <v>70</v>
      </c>
      <c r="P497" s="43"/>
      <c r="Q497" s="43"/>
      <c r="R497" s="43"/>
      <c r="S497" s="43"/>
      <c r="T497" s="43"/>
      <c r="U497" s="42" t="s">
        <v>691</v>
      </c>
    </row>
    <row r="498" spans="1:21" ht="21" customHeight="1" x14ac:dyDescent="0.3">
      <c r="A498" s="44" t="str">
        <f t="shared" si="28"/>
        <v>1</v>
      </c>
      <c r="B498" s="41">
        <f t="shared" si="29"/>
        <v>1</v>
      </c>
      <c r="C498" s="41" t="str">
        <f t="shared" si="30"/>
        <v/>
      </c>
      <c r="D498" s="41" t="str">
        <f t="shared" si="31"/>
        <v/>
      </c>
      <c r="E498" s="62"/>
      <c r="F498" s="1" t="s">
        <v>463</v>
      </c>
      <c r="G498" s="1">
        <v>495</v>
      </c>
      <c r="H498" s="4" t="s">
        <v>464</v>
      </c>
      <c r="I498" s="4" t="str">
        <f>IF(ISERROR(VLOOKUP(H498,#REF!,9,0)),"",VLOOKUP(H498,#REF!,9,0))</f>
        <v/>
      </c>
      <c r="J498" s="42"/>
      <c r="K498" s="1" t="s">
        <v>446</v>
      </c>
      <c r="L498" s="1" t="s">
        <v>521</v>
      </c>
      <c r="M498" s="43">
        <v>2022</v>
      </c>
      <c r="N498" s="42"/>
      <c r="O498" s="43" t="s">
        <v>70</v>
      </c>
      <c r="P498" s="43"/>
      <c r="Q498" s="43"/>
      <c r="R498" s="43"/>
      <c r="S498" s="43"/>
      <c r="T498" s="43"/>
      <c r="U498" s="42" t="s">
        <v>691</v>
      </c>
    </row>
    <row r="499" spans="1:21" ht="21" customHeight="1" x14ac:dyDescent="0.3">
      <c r="A499" s="44" t="str">
        <f t="shared" si="28"/>
        <v>1</v>
      </c>
      <c r="B499" s="41">
        <f t="shared" si="29"/>
        <v>1</v>
      </c>
      <c r="C499" s="41" t="str">
        <f t="shared" si="30"/>
        <v/>
      </c>
      <c r="D499" s="41" t="str">
        <f t="shared" si="31"/>
        <v/>
      </c>
      <c r="E499" s="62"/>
      <c r="F499" s="1"/>
      <c r="G499" s="1">
        <v>496</v>
      </c>
      <c r="H499" s="4" t="s">
        <v>466</v>
      </c>
      <c r="I499" s="4" t="str">
        <f>IF(ISERROR(VLOOKUP(H499,#REF!,9,0)),"",VLOOKUP(H499,#REF!,9,0))</f>
        <v/>
      </c>
      <c r="J499" s="42"/>
      <c r="K499" s="1" t="s">
        <v>446</v>
      </c>
      <c r="L499" s="1" t="s">
        <v>521</v>
      </c>
      <c r="M499" s="43">
        <v>2022</v>
      </c>
      <c r="N499" s="42"/>
      <c r="O499" s="43" t="s">
        <v>70</v>
      </c>
      <c r="P499" s="43"/>
      <c r="Q499" s="43"/>
      <c r="R499" s="43"/>
      <c r="S499" s="43"/>
      <c r="T499" s="43"/>
      <c r="U499" s="42" t="s">
        <v>691</v>
      </c>
    </row>
    <row r="500" spans="1:21" ht="21" customHeight="1" x14ac:dyDescent="0.3">
      <c r="A500" s="44" t="str">
        <f t="shared" si="28"/>
        <v>1</v>
      </c>
      <c r="B500" s="41">
        <f t="shared" si="29"/>
        <v>1</v>
      </c>
      <c r="C500" s="41" t="str">
        <f t="shared" si="30"/>
        <v/>
      </c>
      <c r="D500" s="41" t="str">
        <f t="shared" si="31"/>
        <v/>
      </c>
      <c r="E500" s="62"/>
      <c r="F500" s="1"/>
      <c r="G500" s="1">
        <v>497</v>
      </c>
      <c r="H500" s="4" t="s">
        <v>468</v>
      </c>
      <c r="I500" s="4" t="str">
        <f>IF(ISERROR(VLOOKUP(H500,#REF!,9,0)),"",VLOOKUP(H500,#REF!,9,0))</f>
        <v/>
      </c>
      <c r="J500" s="42"/>
      <c r="K500" s="1" t="s">
        <v>446</v>
      </c>
      <c r="L500" s="1" t="s">
        <v>521</v>
      </c>
      <c r="M500" s="43">
        <v>2022</v>
      </c>
      <c r="N500" s="42"/>
      <c r="O500" s="43" t="s">
        <v>70</v>
      </c>
      <c r="P500" s="43"/>
      <c r="Q500" s="43"/>
      <c r="R500" s="43"/>
      <c r="S500" s="43"/>
      <c r="T500" s="43"/>
      <c r="U500" s="42" t="s">
        <v>691</v>
      </c>
    </row>
    <row r="501" spans="1:21" ht="21" customHeight="1" x14ac:dyDescent="0.3">
      <c r="A501" s="44" t="str">
        <f t="shared" si="28"/>
        <v>1</v>
      </c>
      <c r="B501" s="41">
        <f t="shared" si="29"/>
        <v>1</v>
      </c>
      <c r="C501" s="41" t="str">
        <f t="shared" si="30"/>
        <v/>
      </c>
      <c r="D501" s="41" t="str">
        <f t="shared" si="31"/>
        <v/>
      </c>
      <c r="E501" s="62"/>
      <c r="F501" s="1"/>
      <c r="G501" s="1">
        <v>498</v>
      </c>
      <c r="H501" s="4" t="s">
        <v>470</v>
      </c>
      <c r="I501" s="4" t="str">
        <f>IF(ISERROR(VLOOKUP(H501,#REF!,9,0)),"",VLOOKUP(H501,#REF!,9,0))</f>
        <v/>
      </c>
      <c r="J501" s="42"/>
      <c r="K501" s="1" t="s">
        <v>446</v>
      </c>
      <c r="L501" s="1" t="s">
        <v>521</v>
      </c>
      <c r="M501" s="43">
        <v>2022</v>
      </c>
      <c r="N501" s="42"/>
      <c r="O501" s="43" t="s">
        <v>70</v>
      </c>
      <c r="P501" s="43"/>
      <c r="Q501" s="43"/>
      <c r="R501" s="43"/>
      <c r="S501" s="43"/>
      <c r="T501" s="43"/>
      <c r="U501" s="42" t="s">
        <v>691</v>
      </c>
    </row>
    <row r="502" spans="1:21" ht="21" customHeight="1" x14ac:dyDescent="0.3">
      <c r="A502" s="44" t="str">
        <f t="shared" si="28"/>
        <v>1</v>
      </c>
      <c r="B502" s="41">
        <f t="shared" si="29"/>
        <v>1</v>
      </c>
      <c r="C502" s="41" t="str">
        <f t="shared" si="30"/>
        <v/>
      </c>
      <c r="D502" s="41" t="str">
        <f t="shared" si="31"/>
        <v/>
      </c>
      <c r="E502" s="62"/>
      <c r="F502" s="1"/>
      <c r="G502" s="1">
        <v>499</v>
      </c>
      <c r="H502" s="4" t="s">
        <v>472</v>
      </c>
      <c r="I502" s="4" t="str">
        <f>IF(ISERROR(VLOOKUP(H502,#REF!,9,0)),"",VLOOKUP(H502,#REF!,9,0))</f>
        <v/>
      </c>
      <c r="J502" s="42"/>
      <c r="K502" s="1" t="s">
        <v>446</v>
      </c>
      <c r="L502" s="1" t="s">
        <v>521</v>
      </c>
      <c r="M502" s="43">
        <v>2022</v>
      </c>
      <c r="N502" s="42"/>
      <c r="O502" s="43" t="s">
        <v>70</v>
      </c>
      <c r="P502" s="43"/>
      <c r="Q502" s="43"/>
      <c r="R502" s="43"/>
      <c r="S502" s="43"/>
      <c r="T502" s="43"/>
      <c r="U502" s="42" t="s">
        <v>691</v>
      </c>
    </row>
    <row r="503" spans="1:21" ht="21" customHeight="1" x14ac:dyDescent="0.3">
      <c r="A503" s="44" t="str">
        <f t="shared" si="28"/>
        <v>1</v>
      </c>
      <c r="B503" s="41">
        <f t="shared" si="29"/>
        <v>1</v>
      </c>
      <c r="C503" s="41" t="str">
        <f t="shared" si="30"/>
        <v/>
      </c>
      <c r="D503" s="41" t="str">
        <f t="shared" si="31"/>
        <v/>
      </c>
      <c r="E503" s="62"/>
      <c r="F503" s="1" t="s">
        <v>463</v>
      </c>
      <c r="G503" s="1">
        <v>500</v>
      </c>
      <c r="H503" s="4" t="s">
        <v>474</v>
      </c>
      <c r="I503" s="4" t="str">
        <f>IF(ISERROR(VLOOKUP(H503,#REF!,9,0)),"",VLOOKUP(H503,#REF!,9,0))</f>
        <v/>
      </c>
      <c r="J503" s="42"/>
      <c r="K503" s="1" t="s">
        <v>446</v>
      </c>
      <c r="L503" s="1" t="s">
        <v>521</v>
      </c>
      <c r="M503" s="43">
        <v>2022</v>
      </c>
      <c r="N503" s="42"/>
      <c r="O503" s="43" t="s">
        <v>70</v>
      </c>
      <c r="P503" s="43"/>
      <c r="Q503" s="43"/>
      <c r="R503" s="43"/>
      <c r="S503" s="43"/>
      <c r="T503" s="43"/>
      <c r="U503" s="42" t="s">
        <v>691</v>
      </c>
    </row>
    <row r="504" spans="1:21" ht="21" customHeight="1" x14ac:dyDescent="0.3">
      <c r="A504" s="44" t="str">
        <f t="shared" si="28"/>
        <v>1</v>
      </c>
      <c r="B504" s="41">
        <f t="shared" si="29"/>
        <v>1</v>
      </c>
      <c r="C504" s="41" t="str">
        <f t="shared" si="30"/>
        <v/>
      </c>
      <c r="D504" s="41" t="str">
        <f t="shared" si="31"/>
        <v/>
      </c>
      <c r="E504" s="62" t="s">
        <v>476</v>
      </c>
      <c r="F504" s="1"/>
      <c r="G504" s="1">
        <v>501</v>
      </c>
      <c r="H504" s="4" t="s">
        <v>477</v>
      </c>
      <c r="I504" s="4" t="str">
        <f>IF(ISERROR(VLOOKUP(H504,#REF!,9,0)),"",VLOOKUP(H504,#REF!,9,0))</f>
        <v/>
      </c>
      <c r="J504" s="42"/>
      <c r="K504" s="1" t="s">
        <v>476</v>
      </c>
      <c r="L504" s="1" t="s">
        <v>522</v>
      </c>
      <c r="M504" s="43" t="s">
        <v>890</v>
      </c>
      <c r="N504" s="42"/>
      <c r="O504" s="43"/>
      <c r="P504" s="43"/>
      <c r="Q504" s="43"/>
      <c r="R504" s="43"/>
      <c r="S504" s="43"/>
      <c r="T504" s="43"/>
      <c r="U504" s="42"/>
    </row>
    <row r="505" spans="1:21" ht="21" customHeight="1" x14ac:dyDescent="0.3">
      <c r="A505" s="44" t="str">
        <f t="shared" si="28"/>
        <v>1</v>
      </c>
      <c r="B505" s="41">
        <f t="shared" si="29"/>
        <v>1</v>
      </c>
      <c r="C505" s="41" t="str">
        <f t="shared" si="30"/>
        <v/>
      </c>
      <c r="D505" s="41" t="str">
        <f t="shared" si="31"/>
        <v/>
      </c>
      <c r="E505" s="62"/>
      <c r="F505" s="1"/>
      <c r="G505" s="1">
        <v>502</v>
      </c>
      <c r="H505" s="4" t="s">
        <v>478</v>
      </c>
      <c r="I505" s="4" t="str">
        <f>IF(ISERROR(VLOOKUP(H505,#REF!,9,0)),"",VLOOKUP(H505,#REF!,9,0))</f>
        <v/>
      </c>
      <c r="J505" s="42"/>
      <c r="K505" s="1" t="s">
        <v>476</v>
      </c>
      <c r="L505" s="1" t="s">
        <v>522</v>
      </c>
      <c r="M505" s="43" t="s">
        <v>890</v>
      </c>
      <c r="N505" s="42"/>
      <c r="O505" s="43"/>
      <c r="P505" s="43"/>
      <c r="Q505" s="43"/>
      <c r="R505" s="43"/>
      <c r="S505" s="43"/>
      <c r="T505" s="43"/>
      <c r="U505" s="42"/>
    </row>
    <row r="506" spans="1:21" ht="21" customHeight="1" x14ac:dyDescent="0.3">
      <c r="A506" s="44" t="str">
        <f t="shared" si="28"/>
        <v>1</v>
      </c>
      <c r="B506" s="41">
        <f t="shared" si="29"/>
        <v>1</v>
      </c>
      <c r="C506" s="41" t="str">
        <f t="shared" si="30"/>
        <v/>
      </c>
      <c r="D506" s="41" t="str">
        <f t="shared" si="31"/>
        <v/>
      </c>
      <c r="E506" s="62"/>
      <c r="F506" s="1" t="s">
        <v>479</v>
      </c>
      <c r="G506" s="1">
        <v>503</v>
      </c>
      <c r="H506" s="4" t="s">
        <v>480</v>
      </c>
      <c r="I506" s="4" t="str">
        <f>IF(ISERROR(VLOOKUP(H506,#REF!,9,0)),"",VLOOKUP(H506,#REF!,9,0))</f>
        <v/>
      </c>
      <c r="J506" s="42"/>
      <c r="K506" s="1" t="s">
        <v>476</v>
      </c>
      <c r="L506" s="1" t="s">
        <v>522</v>
      </c>
      <c r="M506" s="43" t="s">
        <v>890</v>
      </c>
      <c r="N506" s="42"/>
      <c r="O506" s="43"/>
      <c r="P506" s="43"/>
      <c r="Q506" s="43"/>
      <c r="R506" s="43"/>
      <c r="S506" s="43"/>
      <c r="T506" s="43"/>
      <c r="U506" s="42"/>
    </row>
    <row r="507" spans="1:21" ht="21" customHeight="1" x14ac:dyDescent="0.3">
      <c r="A507" s="44" t="str">
        <f t="shared" si="28"/>
        <v>1</v>
      </c>
      <c r="B507" s="41">
        <f t="shared" si="29"/>
        <v>1</v>
      </c>
      <c r="C507" s="41" t="str">
        <f t="shared" si="30"/>
        <v/>
      </c>
      <c r="D507" s="41" t="str">
        <f t="shared" si="31"/>
        <v/>
      </c>
      <c r="E507" s="62"/>
      <c r="F507" s="1" t="s">
        <v>479</v>
      </c>
      <c r="G507" s="1">
        <v>504</v>
      </c>
      <c r="H507" s="4" t="s">
        <v>481</v>
      </c>
      <c r="I507" s="4" t="str">
        <f>IF(ISERROR(VLOOKUP(H507,#REF!,9,0)),"",VLOOKUP(H507,#REF!,9,0))</f>
        <v/>
      </c>
      <c r="J507" s="42"/>
      <c r="K507" s="1" t="s">
        <v>476</v>
      </c>
      <c r="L507" s="1" t="s">
        <v>522</v>
      </c>
      <c r="M507" s="43" t="s">
        <v>890</v>
      </c>
      <c r="N507" s="42"/>
      <c r="O507" s="43"/>
      <c r="P507" s="43"/>
      <c r="Q507" s="43"/>
      <c r="R507" s="43"/>
      <c r="S507" s="43"/>
      <c r="T507" s="43"/>
      <c r="U507" s="42"/>
    </row>
    <row r="508" spans="1:21" ht="21" customHeight="1" x14ac:dyDescent="0.3">
      <c r="A508" s="44" t="str">
        <f t="shared" si="28"/>
        <v>1</v>
      </c>
      <c r="B508" s="41">
        <f t="shared" si="29"/>
        <v>1</v>
      </c>
      <c r="C508" s="41" t="str">
        <f t="shared" si="30"/>
        <v/>
      </c>
      <c r="D508" s="41" t="str">
        <f t="shared" si="31"/>
        <v/>
      </c>
      <c r="E508" s="62"/>
      <c r="F508" s="1"/>
      <c r="G508" s="1">
        <v>505</v>
      </c>
      <c r="H508" s="4" t="s">
        <v>482</v>
      </c>
      <c r="I508" s="4" t="str">
        <f>IF(ISERROR(VLOOKUP(H508,#REF!,9,0)),"",VLOOKUP(H508,#REF!,9,0))</f>
        <v/>
      </c>
      <c r="J508" s="42"/>
      <c r="K508" s="1" t="s">
        <v>476</v>
      </c>
      <c r="L508" s="1" t="s">
        <v>522</v>
      </c>
      <c r="M508" s="43" t="s">
        <v>890</v>
      </c>
      <c r="N508" s="42"/>
      <c r="O508" s="43"/>
      <c r="P508" s="43"/>
      <c r="Q508" s="43"/>
      <c r="R508" s="43"/>
      <c r="S508" s="43"/>
      <c r="T508" s="43"/>
      <c r="U508" s="42"/>
    </row>
    <row r="509" spans="1:21" ht="21" customHeight="1" x14ac:dyDescent="0.3">
      <c r="A509" s="44" t="str">
        <f t="shared" si="28"/>
        <v>1</v>
      </c>
      <c r="B509" s="41">
        <f t="shared" si="29"/>
        <v>1</v>
      </c>
      <c r="C509" s="41" t="str">
        <f t="shared" si="30"/>
        <v/>
      </c>
      <c r="D509" s="41" t="str">
        <f t="shared" si="31"/>
        <v/>
      </c>
      <c r="E509" s="62"/>
      <c r="F509" s="1"/>
      <c r="G509" s="1">
        <v>506</v>
      </c>
      <c r="H509" s="4" t="s">
        <v>483</v>
      </c>
      <c r="I509" s="4" t="str">
        <f>IF(ISERROR(VLOOKUP(H509,#REF!,9,0)),"",VLOOKUP(H509,#REF!,9,0))</f>
        <v/>
      </c>
      <c r="J509" s="42"/>
      <c r="K509" s="1" t="s">
        <v>476</v>
      </c>
      <c r="L509" s="1" t="s">
        <v>522</v>
      </c>
      <c r="M509" s="43" t="s">
        <v>890</v>
      </c>
      <c r="N509" s="42"/>
      <c r="O509" s="43"/>
      <c r="P509" s="43"/>
      <c r="Q509" s="43"/>
      <c r="R509" s="43"/>
      <c r="S509" s="43"/>
      <c r="T509" s="43"/>
      <c r="U509" s="42"/>
    </row>
    <row r="510" spans="1:21" ht="21" customHeight="1" x14ac:dyDescent="0.3">
      <c r="A510" s="44" t="str">
        <f t="shared" si="28"/>
        <v>1</v>
      </c>
      <c r="B510" s="41">
        <f t="shared" si="29"/>
        <v>1</v>
      </c>
      <c r="C510" s="41" t="str">
        <f t="shared" si="30"/>
        <v/>
      </c>
      <c r="D510" s="41" t="str">
        <f t="shared" si="31"/>
        <v/>
      </c>
      <c r="E510" s="62"/>
      <c r="F510" s="1"/>
      <c r="G510" s="1">
        <v>507</v>
      </c>
      <c r="H510" s="4" t="s">
        <v>484</v>
      </c>
      <c r="I510" s="4" t="str">
        <f>IF(ISERROR(VLOOKUP(H510,#REF!,9,0)),"",VLOOKUP(H510,#REF!,9,0))</f>
        <v/>
      </c>
      <c r="J510" s="42"/>
      <c r="K510" s="1" t="s">
        <v>476</v>
      </c>
      <c r="L510" s="1" t="s">
        <v>522</v>
      </c>
      <c r="M510" s="43" t="s">
        <v>890</v>
      </c>
      <c r="N510" s="42"/>
      <c r="O510" s="43"/>
      <c r="P510" s="43"/>
      <c r="Q510" s="43"/>
      <c r="R510" s="43"/>
      <c r="S510" s="43"/>
      <c r="T510" s="43"/>
      <c r="U510" s="42"/>
    </row>
    <row r="511" spans="1:21" ht="21" customHeight="1" x14ac:dyDescent="0.3">
      <c r="A511" s="44" t="str">
        <f t="shared" si="28"/>
        <v>1</v>
      </c>
      <c r="B511" s="41">
        <f t="shared" si="29"/>
        <v>1</v>
      </c>
      <c r="C511" s="41" t="str">
        <f t="shared" si="30"/>
        <v/>
      </c>
      <c r="D511" s="41" t="str">
        <f t="shared" si="31"/>
        <v/>
      </c>
      <c r="E511" s="62"/>
      <c r="F511" s="1"/>
      <c r="G511" s="1">
        <v>508</v>
      </c>
      <c r="H511" s="4" t="s">
        <v>485</v>
      </c>
      <c r="I511" s="4" t="str">
        <f>IF(ISERROR(VLOOKUP(H511,#REF!,9,0)),"",VLOOKUP(H511,#REF!,9,0))</f>
        <v/>
      </c>
      <c r="J511" s="42"/>
      <c r="K511" s="1" t="s">
        <v>476</v>
      </c>
      <c r="L511" s="1" t="s">
        <v>522</v>
      </c>
      <c r="M511" s="43" t="s">
        <v>890</v>
      </c>
      <c r="N511" s="42"/>
      <c r="O511" s="43"/>
      <c r="P511" s="43"/>
      <c r="Q511" s="43"/>
      <c r="R511" s="43"/>
      <c r="S511" s="43"/>
      <c r="T511" s="43"/>
      <c r="U511" s="42"/>
    </row>
    <row r="512" spans="1:21" ht="21" customHeight="1" x14ac:dyDescent="0.3">
      <c r="A512" s="44" t="str">
        <f t="shared" si="28"/>
        <v>1</v>
      </c>
      <c r="B512" s="41">
        <f t="shared" si="29"/>
        <v>1</v>
      </c>
      <c r="C512" s="41" t="str">
        <f t="shared" si="30"/>
        <v/>
      </c>
      <c r="D512" s="41" t="str">
        <f t="shared" si="31"/>
        <v/>
      </c>
      <c r="E512" s="62"/>
      <c r="F512" s="1"/>
      <c r="G512" s="1">
        <v>509</v>
      </c>
      <c r="H512" s="4" t="s">
        <v>486</v>
      </c>
      <c r="I512" s="4" t="str">
        <f>IF(ISERROR(VLOOKUP(H512,#REF!,9,0)),"",VLOOKUP(H512,#REF!,9,0))</f>
        <v/>
      </c>
      <c r="J512" s="42"/>
      <c r="K512" s="1" t="s">
        <v>476</v>
      </c>
      <c r="L512" s="1" t="s">
        <v>522</v>
      </c>
      <c r="M512" s="43" t="s">
        <v>890</v>
      </c>
      <c r="N512" s="42"/>
      <c r="O512" s="43"/>
      <c r="P512" s="43"/>
      <c r="Q512" s="43"/>
      <c r="R512" s="43"/>
      <c r="S512" s="43"/>
      <c r="T512" s="43"/>
      <c r="U512" s="42"/>
    </row>
    <row r="513" spans="1:21" ht="21" customHeight="1" x14ac:dyDescent="0.3">
      <c r="A513" s="44" t="str">
        <f t="shared" si="28"/>
        <v>1</v>
      </c>
      <c r="B513" s="41">
        <f t="shared" si="29"/>
        <v>1</v>
      </c>
      <c r="C513" s="41" t="str">
        <f t="shared" si="30"/>
        <v/>
      </c>
      <c r="D513" s="41" t="str">
        <f t="shared" si="31"/>
        <v/>
      </c>
      <c r="E513" s="62"/>
      <c r="F513" s="1"/>
      <c r="G513" s="1">
        <v>510</v>
      </c>
      <c r="H513" s="4" t="s">
        <v>487</v>
      </c>
      <c r="I513" s="4" t="str">
        <f>IF(ISERROR(VLOOKUP(H513,#REF!,9,0)),"",VLOOKUP(H513,#REF!,9,0))</f>
        <v/>
      </c>
      <c r="J513" s="42"/>
      <c r="K513" s="1" t="s">
        <v>476</v>
      </c>
      <c r="L513" s="1" t="s">
        <v>522</v>
      </c>
      <c r="M513" s="43" t="s">
        <v>890</v>
      </c>
      <c r="N513" s="42"/>
      <c r="O513" s="43"/>
      <c r="P513" s="43"/>
      <c r="Q513" s="43"/>
      <c r="R513" s="43"/>
      <c r="S513" s="43"/>
      <c r="T513" s="43"/>
      <c r="U513" s="42"/>
    </row>
    <row r="514" spans="1:21" ht="21" customHeight="1" x14ac:dyDescent="0.3">
      <c r="A514" s="44" t="str">
        <f t="shared" si="28"/>
        <v>1</v>
      </c>
      <c r="B514" s="41">
        <f t="shared" si="29"/>
        <v>1</v>
      </c>
      <c r="C514" s="41" t="str">
        <f t="shared" si="30"/>
        <v/>
      </c>
      <c r="D514" s="41" t="str">
        <f t="shared" si="31"/>
        <v/>
      </c>
      <c r="E514" s="62"/>
      <c r="F514" s="1"/>
      <c r="G514" s="1">
        <v>511</v>
      </c>
      <c r="H514" s="4" t="s">
        <v>488</v>
      </c>
      <c r="I514" s="4" t="str">
        <f>IF(ISERROR(VLOOKUP(H514,#REF!,9,0)),"",VLOOKUP(H514,#REF!,9,0))</f>
        <v/>
      </c>
      <c r="J514" s="42"/>
      <c r="K514" s="1" t="s">
        <v>476</v>
      </c>
      <c r="L514" s="1" t="s">
        <v>522</v>
      </c>
      <c r="M514" s="43" t="s">
        <v>890</v>
      </c>
      <c r="N514" s="42"/>
      <c r="O514" s="43"/>
      <c r="P514" s="43"/>
      <c r="Q514" s="43"/>
      <c r="R514" s="43"/>
      <c r="S514" s="43"/>
      <c r="T514" s="43"/>
      <c r="U514" s="42"/>
    </row>
    <row r="515" spans="1:21" ht="21" customHeight="1" x14ac:dyDescent="0.3">
      <c r="A515" s="44" t="str">
        <f t="shared" si="28"/>
        <v>1</v>
      </c>
      <c r="B515" s="41">
        <f t="shared" si="29"/>
        <v>1</v>
      </c>
      <c r="C515" s="41" t="str">
        <f t="shared" si="30"/>
        <v/>
      </c>
      <c r="D515" s="41" t="str">
        <f t="shared" si="31"/>
        <v/>
      </c>
      <c r="E515" s="62" t="s">
        <v>489</v>
      </c>
      <c r="F515" s="1"/>
      <c r="G515" s="1">
        <v>512</v>
      </c>
      <c r="H515" s="4" t="s">
        <v>491</v>
      </c>
      <c r="I515" s="4" t="str">
        <f>IF(ISERROR(VLOOKUP(H515,#REF!,9,0)),"",VLOOKUP(H515,#REF!,9,0))</f>
        <v/>
      </c>
      <c r="J515" s="42"/>
      <c r="K515" s="1" t="s">
        <v>489</v>
      </c>
      <c r="L515" s="1" t="s">
        <v>522</v>
      </c>
      <c r="M515" s="43" t="s">
        <v>890</v>
      </c>
      <c r="N515" s="42"/>
      <c r="O515" s="43"/>
      <c r="P515" s="43"/>
      <c r="Q515" s="43"/>
      <c r="R515" s="43"/>
      <c r="S515" s="43"/>
      <c r="T515" s="43"/>
      <c r="U515" s="42"/>
    </row>
    <row r="516" spans="1:21" ht="21" customHeight="1" x14ac:dyDescent="0.3">
      <c r="A516" s="44" t="str">
        <f t="shared" ref="A516:A526" si="32">B516&amp;D516</f>
        <v>1</v>
      </c>
      <c r="B516" s="41">
        <f t="shared" ref="B516:B526" si="33">IF(H516="","",1)</f>
        <v>1</v>
      </c>
      <c r="C516" s="41" t="str">
        <f t="shared" ref="C516:C526" si="34">IF(I516="","",1)</f>
        <v/>
      </c>
      <c r="D516" s="41" t="str">
        <f t="shared" ref="D516:D526" si="35">IF(J516="","",1)</f>
        <v/>
      </c>
      <c r="E516" s="62"/>
      <c r="F516" s="1"/>
      <c r="G516" s="1">
        <v>513</v>
      </c>
      <c r="H516" s="4" t="s">
        <v>492</v>
      </c>
      <c r="I516" s="4" t="str">
        <f>IF(ISERROR(VLOOKUP(H516,#REF!,9,0)),"",VLOOKUP(H516,#REF!,9,0))</f>
        <v/>
      </c>
      <c r="J516" s="42"/>
      <c r="K516" s="1" t="s">
        <v>489</v>
      </c>
      <c r="L516" s="1" t="s">
        <v>522</v>
      </c>
      <c r="M516" s="43" t="s">
        <v>890</v>
      </c>
      <c r="N516" s="42"/>
      <c r="O516" s="43"/>
      <c r="P516" s="43"/>
      <c r="Q516" s="43"/>
      <c r="R516" s="43"/>
      <c r="S516" s="43"/>
      <c r="T516" s="43"/>
      <c r="U516" s="42"/>
    </row>
    <row r="517" spans="1:21" ht="21" customHeight="1" x14ac:dyDescent="0.3">
      <c r="A517" s="44" t="str">
        <f t="shared" si="32"/>
        <v>1</v>
      </c>
      <c r="B517" s="41">
        <f t="shared" si="33"/>
        <v>1</v>
      </c>
      <c r="C517" s="41" t="str">
        <f t="shared" si="34"/>
        <v/>
      </c>
      <c r="D517" s="41" t="str">
        <f t="shared" si="35"/>
        <v/>
      </c>
      <c r="E517" s="62"/>
      <c r="F517" s="1" t="s">
        <v>490</v>
      </c>
      <c r="G517" s="1">
        <v>514</v>
      </c>
      <c r="H517" s="4" t="s">
        <v>493</v>
      </c>
      <c r="I517" s="4" t="str">
        <f>IF(ISERROR(VLOOKUP(H517,#REF!,9,0)),"",VLOOKUP(H517,#REF!,9,0))</f>
        <v/>
      </c>
      <c r="J517" s="42"/>
      <c r="K517" s="1" t="s">
        <v>489</v>
      </c>
      <c r="L517" s="1" t="s">
        <v>522</v>
      </c>
      <c r="M517" s="43" t="s">
        <v>890</v>
      </c>
      <c r="N517" s="42"/>
      <c r="O517" s="43"/>
      <c r="P517" s="43"/>
      <c r="Q517" s="43"/>
      <c r="R517" s="43"/>
      <c r="S517" s="43"/>
      <c r="T517" s="43"/>
      <c r="U517" s="42"/>
    </row>
    <row r="518" spans="1:21" ht="21" customHeight="1" x14ac:dyDescent="0.3">
      <c r="A518" s="44" t="str">
        <f t="shared" si="32"/>
        <v>1</v>
      </c>
      <c r="B518" s="41">
        <f t="shared" si="33"/>
        <v>1</v>
      </c>
      <c r="C518" s="41" t="str">
        <f t="shared" si="34"/>
        <v/>
      </c>
      <c r="D518" s="41" t="str">
        <f t="shared" si="35"/>
        <v/>
      </c>
      <c r="E518" s="62"/>
      <c r="F518" s="1" t="s">
        <v>490</v>
      </c>
      <c r="G518" s="1">
        <v>515</v>
      </c>
      <c r="H518" s="4" t="s">
        <v>493</v>
      </c>
      <c r="I518" s="4" t="str">
        <f>IF(ISERROR(VLOOKUP(H518,#REF!,9,0)),"",VLOOKUP(H518,#REF!,9,0))</f>
        <v/>
      </c>
      <c r="J518" s="42"/>
      <c r="K518" s="1" t="s">
        <v>489</v>
      </c>
      <c r="L518" s="1" t="s">
        <v>522</v>
      </c>
      <c r="M518" s="43" t="s">
        <v>890</v>
      </c>
      <c r="N518" s="42"/>
      <c r="O518" s="43"/>
      <c r="P518" s="43"/>
      <c r="Q518" s="43"/>
      <c r="R518" s="43"/>
      <c r="S518" s="43"/>
      <c r="T518" s="43"/>
      <c r="U518" s="42"/>
    </row>
    <row r="519" spans="1:21" ht="21" customHeight="1" x14ac:dyDescent="0.3">
      <c r="A519" s="44" t="str">
        <f t="shared" si="32"/>
        <v>1</v>
      </c>
      <c r="B519" s="41">
        <f t="shared" si="33"/>
        <v>1</v>
      </c>
      <c r="C519" s="41" t="str">
        <f t="shared" si="34"/>
        <v/>
      </c>
      <c r="D519" s="41" t="str">
        <f t="shared" si="35"/>
        <v/>
      </c>
      <c r="E519" s="62"/>
      <c r="F519" s="1" t="s">
        <v>490</v>
      </c>
      <c r="G519" s="1">
        <v>516</v>
      </c>
      <c r="H519" s="4" t="s">
        <v>494</v>
      </c>
      <c r="I519" s="4" t="str">
        <f>IF(ISERROR(VLOOKUP(H519,#REF!,9,0)),"",VLOOKUP(H519,#REF!,9,0))</f>
        <v/>
      </c>
      <c r="J519" s="42"/>
      <c r="K519" s="1" t="s">
        <v>489</v>
      </c>
      <c r="L519" s="1" t="s">
        <v>522</v>
      </c>
      <c r="M519" s="43" t="s">
        <v>890</v>
      </c>
      <c r="N519" s="42"/>
      <c r="O519" s="43"/>
      <c r="P519" s="43"/>
      <c r="Q519" s="43"/>
      <c r="R519" s="43"/>
      <c r="S519" s="43"/>
      <c r="T519" s="43"/>
      <c r="U519" s="42"/>
    </row>
    <row r="520" spans="1:21" ht="21" customHeight="1" x14ac:dyDescent="0.3">
      <c r="A520" s="44" t="str">
        <f t="shared" si="32"/>
        <v>1</v>
      </c>
      <c r="B520" s="41">
        <f t="shared" si="33"/>
        <v>1</v>
      </c>
      <c r="C520" s="41" t="str">
        <f t="shared" si="34"/>
        <v/>
      </c>
      <c r="D520" s="41" t="str">
        <f t="shared" si="35"/>
        <v/>
      </c>
      <c r="E520" s="62"/>
      <c r="F520" s="1" t="s">
        <v>490</v>
      </c>
      <c r="G520" s="1">
        <v>517</v>
      </c>
      <c r="H520" s="4" t="s">
        <v>494</v>
      </c>
      <c r="I520" s="4" t="str">
        <f>IF(ISERROR(VLOOKUP(H520,#REF!,9,0)),"",VLOOKUP(H520,#REF!,9,0))</f>
        <v/>
      </c>
      <c r="J520" s="42"/>
      <c r="K520" s="1" t="s">
        <v>489</v>
      </c>
      <c r="L520" s="1" t="s">
        <v>522</v>
      </c>
      <c r="M520" s="43" t="s">
        <v>890</v>
      </c>
      <c r="N520" s="42"/>
      <c r="O520" s="43"/>
      <c r="P520" s="43"/>
      <c r="Q520" s="43"/>
      <c r="R520" s="43"/>
      <c r="S520" s="43"/>
      <c r="T520" s="43"/>
      <c r="U520" s="42"/>
    </row>
    <row r="521" spans="1:21" ht="21" customHeight="1" x14ac:dyDescent="0.3">
      <c r="A521" s="44" t="str">
        <f t="shared" si="32"/>
        <v>1</v>
      </c>
      <c r="B521" s="41">
        <f t="shared" si="33"/>
        <v>1</v>
      </c>
      <c r="C521" s="41" t="str">
        <f t="shared" si="34"/>
        <v/>
      </c>
      <c r="D521" s="41" t="str">
        <f t="shared" si="35"/>
        <v/>
      </c>
      <c r="E521" s="62"/>
      <c r="F521" s="1" t="s">
        <v>490</v>
      </c>
      <c r="G521" s="1">
        <v>518</v>
      </c>
      <c r="H521" s="4" t="s">
        <v>495</v>
      </c>
      <c r="I521" s="4" t="str">
        <f>IF(ISERROR(VLOOKUP(H521,#REF!,9,0)),"",VLOOKUP(H521,#REF!,9,0))</f>
        <v/>
      </c>
      <c r="J521" s="42"/>
      <c r="K521" s="1" t="s">
        <v>489</v>
      </c>
      <c r="L521" s="1" t="s">
        <v>522</v>
      </c>
      <c r="M521" s="43" t="s">
        <v>890</v>
      </c>
      <c r="N521" s="42"/>
      <c r="O521" s="43"/>
      <c r="P521" s="43"/>
      <c r="Q521" s="43"/>
      <c r="R521" s="43"/>
      <c r="S521" s="43"/>
      <c r="T521" s="43"/>
      <c r="U521" s="42"/>
    </row>
    <row r="522" spans="1:21" ht="21" customHeight="1" x14ac:dyDescent="0.3">
      <c r="A522" s="44" t="str">
        <f t="shared" si="32"/>
        <v>1</v>
      </c>
      <c r="B522" s="41">
        <f t="shared" si="33"/>
        <v>1</v>
      </c>
      <c r="C522" s="41" t="str">
        <f t="shared" si="34"/>
        <v/>
      </c>
      <c r="D522" s="41" t="str">
        <f t="shared" si="35"/>
        <v/>
      </c>
      <c r="E522" s="62"/>
      <c r="F522" s="1" t="s">
        <v>490</v>
      </c>
      <c r="G522" s="1">
        <v>519</v>
      </c>
      <c r="H522" s="4" t="s">
        <v>946</v>
      </c>
      <c r="I522" s="4" t="str">
        <f>IF(ISERROR(VLOOKUP(H522,#REF!,9,0)),"",VLOOKUP(H522,#REF!,9,0))</f>
        <v/>
      </c>
      <c r="J522" s="42"/>
      <c r="K522" s="1" t="s">
        <v>489</v>
      </c>
      <c r="L522" s="1" t="s">
        <v>522</v>
      </c>
      <c r="M522" s="43" t="s">
        <v>890</v>
      </c>
      <c r="N522" s="42"/>
      <c r="O522" s="43"/>
      <c r="P522" s="43"/>
      <c r="Q522" s="43"/>
      <c r="R522" s="43"/>
      <c r="S522" s="43"/>
      <c r="T522" s="43"/>
      <c r="U522" s="42"/>
    </row>
    <row r="523" spans="1:21" ht="21" customHeight="1" x14ac:dyDescent="0.3">
      <c r="A523" s="44" t="str">
        <f t="shared" si="32"/>
        <v>1</v>
      </c>
      <c r="B523" s="41">
        <f t="shared" si="33"/>
        <v>1</v>
      </c>
      <c r="C523" s="41" t="str">
        <f t="shared" si="34"/>
        <v/>
      </c>
      <c r="D523" s="41" t="str">
        <f t="shared" si="35"/>
        <v/>
      </c>
      <c r="E523" s="62"/>
      <c r="F523" s="1" t="s">
        <v>490</v>
      </c>
      <c r="G523" s="1">
        <v>520</v>
      </c>
      <c r="H523" s="4" t="s">
        <v>496</v>
      </c>
      <c r="I523" s="4" t="str">
        <f>IF(ISERROR(VLOOKUP(H523,#REF!,9,0)),"",VLOOKUP(H523,#REF!,9,0))</f>
        <v/>
      </c>
      <c r="J523" s="42"/>
      <c r="K523" s="1" t="s">
        <v>489</v>
      </c>
      <c r="L523" s="1" t="s">
        <v>522</v>
      </c>
      <c r="M523" s="43" t="s">
        <v>890</v>
      </c>
      <c r="N523" s="42"/>
      <c r="O523" s="43"/>
      <c r="P523" s="43"/>
      <c r="Q523" s="43"/>
      <c r="R523" s="43"/>
      <c r="S523" s="43"/>
      <c r="T523" s="43"/>
      <c r="U523" s="42"/>
    </row>
    <row r="524" spans="1:21" ht="21" customHeight="1" x14ac:dyDescent="0.3">
      <c r="A524" s="44" t="str">
        <f t="shared" si="32"/>
        <v>1</v>
      </c>
      <c r="B524" s="41">
        <f t="shared" si="33"/>
        <v>1</v>
      </c>
      <c r="C524" s="41" t="str">
        <f t="shared" si="34"/>
        <v/>
      </c>
      <c r="D524" s="41" t="str">
        <f t="shared" si="35"/>
        <v/>
      </c>
      <c r="E524" s="62"/>
      <c r="F524" s="1" t="s">
        <v>490</v>
      </c>
      <c r="G524" s="1">
        <v>521</v>
      </c>
      <c r="H524" s="4" t="s">
        <v>496</v>
      </c>
      <c r="I524" s="4" t="str">
        <f>IF(ISERROR(VLOOKUP(H524,#REF!,9,0)),"",VLOOKUP(H524,#REF!,9,0))</f>
        <v/>
      </c>
      <c r="J524" s="42"/>
      <c r="K524" s="1" t="s">
        <v>489</v>
      </c>
      <c r="L524" s="1" t="s">
        <v>522</v>
      </c>
      <c r="M524" s="43" t="s">
        <v>890</v>
      </c>
      <c r="N524" s="42"/>
      <c r="O524" s="43"/>
      <c r="P524" s="43"/>
      <c r="Q524" s="43"/>
      <c r="R524" s="43"/>
      <c r="S524" s="43"/>
      <c r="T524" s="43"/>
      <c r="U524" s="42"/>
    </row>
    <row r="525" spans="1:21" ht="21" customHeight="1" x14ac:dyDescent="0.3">
      <c r="A525" s="44" t="str">
        <f t="shared" si="32"/>
        <v>1</v>
      </c>
      <c r="B525" s="41">
        <f t="shared" si="33"/>
        <v>1</v>
      </c>
      <c r="C525" s="41" t="str">
        <f t="shared" si="34"/>
        <v/>
      </c>
      <c r="D525" s="41" t="str">
        <f t="shared" si="35"/>
        <v/>
      </c>
      <c r="E525" s="62"/>
      <c r="F525" s="1" t="s">
        <v>490</v>
      </c>
      <c r="G525" s="1">
        <v>522</v>
      </c>
      <c r="H525" s="4" t="s">
        <v>497</v>
      </c>
      <c r="I525" s="4" t="str">
        <f>IF(ISERROR(VLOOKUP(H525,#REF!,9,0)),"",VLOOKUP(H525,#REF!,9,0))</f>
        <v/>
      </c>
      <c r="J525" s="42"/>
      <c r="K525" s="1" t="s">
        <v>489</v>
      </c>
      <c r="L525" s="1" t="s">
        <v>522</v>
      </c>
      <c r="M525" s="43" t="s">
        <v>890</v>
      </c>
      <c r="N525" s="42"/>
      <c r="O525" s="43"/>
      <c r="P525" s="43"/>
      <c r="Q525" s="43"/>
      <c r="R525" s="43"/>
      <c r="S525" s="43"/>
      <c r="T525" s="43"/>
      <c r="U525" s="42"/>
    </row>
    <row r="526" spans="1:21" ht="21" customHeight="1" x14ac:dyDescent="0.3">
      <c r="A526" s="44" t="str">
        <f t="shared" si="32"/>
        <v>1</v>
      </c>
      <c r="B526" s="41">
        <f t="shared" si="33"/>
        <v>1</v>
      </c>
      <c r="C526" s="41" t="str">
        <f t="shared" si="34"/>
        <v/>
      </c>
      <c r="D526" s="41" t="str">
        <f t="shared" si="35"/>
        <v/>
      </c>
      <c r="E526" s="62"/>
      <c r="F526" s="1" t="s">
        <v>490</v>
      </c>
      <c r="G526" s="1">
        <v>523</v>
      </c>
      <c r="H526" s="4" t="s">
        <v>498</v>
      </c>
      <c r="I526" s="4" t="str">
        <f>IF(ISERROR(VLOOKUP(H526,#REF!,9,0)),"",VLOOKUP(H526,#REF!,9,0))</f>
        <v/>
      </c>
      <c r="J526" s="42"/>
      <c r="K526" s="1" t="s">
        <v>489</v>
      </c>
      <c r="L526" s="1" t="s">
        <v>522</v>
      </c>
      <c r="M526" s="43" t="s">
        <v>890</v>
      </c>
      <c r="N526" s="42"/>
      <c r="O526" s="43"/>
      <c r="P526" s="43"/>
      <c r="Q526" s="43"/>
      <c r="R526" s="43"/>
      <c r="S526" s="43"/>
      <c r="T526" s="43"/>
      <c r="U526" s="42"/>
    </row>
  </sheetData>
  <mergeCells count="16">
    <mergeCell ref="E515:E526"/>
    <mergeCell ref="E391:E402"/>
    <mergeCell ref="E403:E412"/>
    <mergeCell ref="E414:E478"/>
    <mergeCell ref="E479:E503"/>
    <mergeCell ref="E504:E514"/>
    <mergeCell ref="E219:E311"/>
    <mergeCell ref="E312:E317"/>
    <mergeCell ref="E318:E350"/>
    <mergeCell ref="E351:E352"/>
    <mergeCell ref="E353:E390"/>
    <mergeCell ref="E4:E38"/>
    <mergeCell ref="E39:E79"/>
    <mergeCell ref="E80:E99"/>
    <mergeCell ref="E100:E203"/>
    <mergeCell ref="E204:E218"/>
  </mergeCells>
  <phoneticPr fontId="70" type="noConversion"/>
  <conditionalFormatting sqref="L1:L1048576">
    <cfRule type="cellIs" dxfId="83" priority="174" stopIfTrue="1" operator="equal">
      <formula>"完成"</formula>
    </cfRule>
    <cfRule type="cellIs" dxfId="82" priority="173" stopIfTrue="1" operator="equal">
      <formula>"待确认"</formula>
    </cfRule>
    <cfRule type="cellIs" dxfId="81" priority="175" stopIfTrue="1" operator="equal">
      <formula>"未推进"</formula>
    </cfRule>
  </conditionalFormatting>
  <conditionalFormatting sqref="L6">
    <cfRule type="cellIs" dxfId="80" priority="88" stopIfTrue="1" operator="equal">
      <formula>"未推进"</formula>
    </cfRule>
    <cfRule type="cellIs" dxfId="79" priority="86" stopIfTrue="1" operator="equal">
      <formula>"待确认"</formula>
    </cfRule>
    <cfRule type="cellIs" dxfId="78" priority="87" stopIfTrue="1" operator="equal">
      <formula>"完成"</formula>
    </cfRule>
  </conditionalFormatting>
  <conditionalFormatting sqref="L12">
    <cfRule type="cellIs" dxfId="77" priority="98" stopIfTrue="1" operator="equal">
      <formula>"待确认"</formula>
    </cfRule>
    <cfRule type="cellIs" dxfId="76" priority="99" stopIfTrue="1" operator="equal">
      <formula>"完成"</formula>
    </cfRule>
    <cfRule type="cellIs" dxfId="75" priority="100" stopIfTrue="1" operator="equal">
      <formula>"未推进"</formula>
    </cfRule>
  </conditionalFormatting>
  <conditionalFormatting sqref="L25:L27">
    <cfRule type="cellIs" dxfId="74" priority="89" stopIfTrue="1" operator="equal">
      <formula>"待确认"</formula>
    </cfRule>
    <cfRule type="cellIs" dxfId="73" priority="92" stopIfTrue="1" operator="equal">
      <formula>"完成"</formula>
    </cfRule>
    <cfRule type="cellIs" dxfId="72" priority="95" stopIfTrue="1" operator="equal">
      <formula>"未推进"</formula>
    </cfRule>
  </conditionalFormatting>
  <conditionalFormatting sqref="L34">
    <cfRule type="cellIs" dxfId="71" priority="101" stopIfTrue="1" operator="equal">
      <formula>"待确认"</formula>
    </cfRule>
    <cfRule type="cellIs" dxfId="70" priority="102" stopIfTrue="1" operator="equal">
      <formula>"完成"</formula>
    </cfRule>
    <cfRule type="cellIs" dxfId="69" priority="103" stopIfTrue="1" operator="equal">
      <formula>"未推进"</formula>
    </cfRule>
  </conditionalFormatting>
  <conditionalFormatting sqref="L54">
    <cfRule type="cellIs" dxfId="68" priority="105" stopIfTrue="1" operator="equal">
      <formula>"完成"</formula>
    </cfRule>
    <cfRule type="cellIs" dxfId="67" priority="106" stopIfTrue="1" operator="equal">
      <formula>"未推进"</formula>
    </cfRule>
    <cfRule type="cellIs" dxfId="66" priority="104" stopIfTrue="1" operator="equal">
      <formula>"待确认"</formula>
    </cfRule>
  </conditionalFormatting>
  <conditionalFormatting sqref="L75:L77">
    <cfRule type="cellIs" dxfId="65" priority="23" stopIfTrue="1" operator="equal">
      <formula>"未推进"</formula>
    </cfRule>
    <cfRule type="cellIs" dxfId="64" priority="20" stopIfTrue="1" operator="equal">
      <formula>"完成"</formula>
    </cfRule>
    <cfRule type="cellIs" dxfId="63" priority="17" stopIfTrue="1" operator="equal">
      <formula>"待确认"</formula>
    </cfRule>
  </conditionalFormatting>
  <conditionalFormatting sqref="L105">
    <cfRule type="cellIs" dxfId="62" priority="152" stopIfTrue="1" operator="equal">
      <formula>"待确认"</formula>
    </cfRule>
    <cfRule type="cellIs" dxfId="61" priority="153" stopIfTrue="1" operator="equal">
      <formula>"完成"</formula>
    </cfRule>
    <cfRule type="cellIs" dxfId="60" priority="154" stopIfTrue="1" operator="equal">
      <formula>"未推进"</formula>
    </cfRule>
  </conditionalFormatting>
  <conditionalFormatting sqref="L131">
    <cfRule type="cellIs" dxfId="59" priority="150" stopIfTrue="1" operator="equal">
      <formula>"完成"</formula>
    </cfRule>
    <cfRule type="cellIs" dxfId="58" priority="151" stopIfTrue="1" operator="equal">
      <formula>"未推进"</formula>
    </cfRule>
    <cfRule type="cellIs" dxfId="57" priority="149" stopIfTrue="1" operator="equal">
      <formula>"待确认"</formula>
    </cfRule>
  </conditionalFormatting>
  <conditionalFormatting sqref="L138">
    <cfRule type="cellIs" dxfId="56" priority="133" stopIfTrue="1" operator="equal">
      <formula>"未推进"</formula>
    </cfRule>
    <cfRule type="cellIs" dxfId="55" priority="132" stopIfTrue="1" operator="equal">
      <formula>"完成"</formula>
    </cfRule>
    <cfRule type="cellIs" dxfId="54" priority="131" stopIfTrue="1" operator="equal">
      <formula>"待确认"</formula>
    </cfRule>
  </conditionalFormatting>
  <conditionalFormatting sqref="L142:L143">
    <cfRule type="cellIs" dxfId="53" priority="143" stopIfTrue="1" operator="equal">
      <formula>"待确认"</formula>
    </cfRule>
    <cfRule type="cellIs" dxfId="52" priority="145" stopIfTrue="1" operator="equal">
      <formula>"完成"</formula>
    </cfRule>
    <cfRule type="cellIs" dxfId="51" priority="147" stopIfTrue="1" operator="equal">
      <formula>"未推进"</formula>
    </cfRule>
  </conditionalFormatting>
  <conditionalFormatting sqref="L146:L148">
    <cfRule type="cellIs" dxfId="50" priority="136" stopIfTrue="1" operator="equal">
      <formula>"未推进"</formula>
    </cfRule>
    <cfRule type="cellIs" dxfId="49" priority="134" stopIfTrue="1" operator="equal">
      <formula>"待确认"</formula>
    </cfRule>
    <cfRule type="cellIs" dxfId="48" priority="135" stopIfTrue="1" operator="equal">
      <formula>"完成"</formula>
    </cfRule>
  </conditionalFormatting>
  <conditionalFormatting sqref="L161:L164">
    <cfRule type="cellIs" dxfId="47" priority="74" stopIfTrue="1" operator="equal">
      <formula>"待确认"</formula>
    </cfRule>
    <cfRule type="cellIs" dxfId="46" priority="78" stopIfTrue="1" operator="equal">
      <formula>"完成"</formula>
    </cfRule>
    <cfRule type="cellIs" dxfId="45" priority="82" stopIfTrue="1" operator="equal">
      <formula>"未推进"</formula>
    </cfRule>
  </conditionalFormatting>
  <conditionalFormatting sqref="L166:L167">
    <cfRule type="cellIs" dxfId="44" priority="127" stopIfTrue="1" operator="equal">
      <formula>"完成"</formula>
    </cfRule>
    <cfRule type="cellIs" dxfId="43" priority="125" stopIfTrue="1" operator="equal">
      <formula>"待确认"</formula>
    </cfRule>
    <cfRule type="cellIs" dxfId="42" priority="129" stopIfTrue="1" operator="equal">
      <formula>"未推进"</formula>
    </cfRule>
  </conditionalFormatting>
  <conditionalFormatting sqref="L189:L191">
    <cfRule type="cellIs" dxfId="41" priority="15" stopIfTrue="1" operator="equal">
      <formula>"未推进"</formula>
    </cfRule>
    <cfRule type="cellIs" dxfId="40" priority="11" stopIfTrue="1" operator="equal">
      <formula>"待确认"</formula>
    </cfRule>
    <cfRule type="cellIs" dxfId="39" priority="13" stopIfTrue="1" operator="equal">
      <formula>"完成"</formula>
    </cfRule>
  </conditionalFormatting>
  <conditionalFormatting sqref="L193:L196">
    <cfRule type="cellIs" dxfId="38" priority="26" stopIfTrue="1" operator="equal">
      <formula>"待确认"</formula>
    </cfRule>
    <cfRule type="cellIs" dxfId="37" priority="30" stopIfTrue="1" operator="equal">
      <formula>"完成"</formula>
    </cfRule>
    <cfRule type="cellIs" dxfId="36" priority="34" stopIfTrue="1" operator="equal">
      <formula>"未推进"</formula>
    </cfRule>
  </conditionalFormatting>
  <conditionalFormatting sqref="L214:L218">
    <cfRule type="cellIs" dxfId="35" priority="69" stopIfTrue="1" operator="equal">
      <formula>"未推进"</formula>
    </cfRule>
    <cfRule type="cellIs" dxfId="34" priority="64" stopIfTrue="1" operator="equal">
      <formula>"完成"</formula>
    </cfRule>
    <cfRule type="cellIs" dxfId="33" priority="59" stopIfTrue="1" operator="equal">
      <formula>"待确认"</formula>
    </cfRule>
  </conditionalFormatting>
  <conditionalFormatting sqref="L260:L263">
    <cfRule type="cellIs" dxfId="32" priority="157" stopIfTrue="1" operator="equal">
      <formula>"未推进"</formula>
    </cfRule>
    <cfRule type="cellIs" dxfId="31" priority="156" stopIfTrue="1" operator="equal">
      <formula>"完成"</formula>
    </cfRule>
    <cfRule type="cellIs" dxfId="30" priority="155" stopIfTrue="1" operator="equal">
      <formula>"待确认"</formula>
    </cfRule>
  </conditionalFormatting>
  <conditionalFormatting sqref="L274">
    <cfRule type="cellIs" dxfId="29" priority="172" stopIfTrue="1" operator="equal">
      <formula>"未推进"</formula>
    </cfRule>
    <cfRule type="cellIs" dxfId="28" priority="171" stopIfTrue="1" operator="equal">
      <formula>"完成"</formula>
    </cfRule>
    <cfRule type="cellIs" dxfId="27" priority="170" stopIfTrue="1" operator="equal">
      <formula>"待确认"</formula>
    </cfRule>
  </conditionalFormatting>
  <conditionalFormatting sqref="L289">
    <cfRule type="cellIs" dxfId="26" priority="169" stopIfTrue="1" operator="equal">
      <formula>"未推进"</formula>
    </cfRule>
    <cfRule type="cellIs" dxfId="25" priority="168" stopIfTrue="1" operator="equal">
      <formula>"完成"</formula>
    </cfRule>
    <cfRule type="cellIs" dxfId="24" priority="167" stopIfTrue="1" operator="equal">
      <formula>"待确认"</formula>
    </cfRule>
  </conditionalFormatting>
  <conditionalFormatting sqref="L300:L302">
    <cfRule type="cellIs" dxfId="23" priority="161" stopIfTrue="1" operator="equal">
      <formula>"完成"</formula>
    </cfRule>
    <cfRule type="cellIs" dxfId="22" priority="158" stopIfTrue="1" operator="equal">
      <formula>"待确认"</formula>
    </cfRule>
    <cfRule type="cellIs" dxfId="21" priority="164" stopIfTrue="1" operator="equal">
      <formula>"未推进"</formula>
    </cfRule>
  </conditionalFormatting>
  <conditionalFormatting sqref="L319:L320">
    <cfRule type="cellIs" dxfId="20" priority="44" stopIfTrue="1" operator="equal">
      <formula>"待确认"</formula>
    </cfRule>
    <cfRule type="cellIs" dxfId="19" priority="45" stopIfTrue="1" operator="equal">
      <formula>"完成"</formula>
    </cfRule>
    <cfRule type="cellIs" dxfId="18" priority="46" stopIfTrue="1" operator="equal">
      <formula>"未推进"</formula>
    </cfRule>
  </conditionalFormatting>
  <conditionalFormatting sqref="L324:L325">
    <cfRule type="cellIs" dxfId="17" priority="57" stopIfTrue="1" operator="equal">
      <formula>"未推进"</formula>
    </cfRule>
    <cfRule type="cellIs" dxfId="16" priority="53" stopIfTrue="1" operator="equal">
      <formula>"待确认"</formula>
    </cfRule>
    <cfRule type="cellIs" dxfId="15" priority="55" stopIfTrue="1" operator="equal">
      <formula>"完成"</formula>
    </cfRule>
  </conditionalFormatting>
  <conditionalFormatting sqref="L327">
    <cfRule type="cellIs" dxfId="14" priority="41" stopIfTrue="1" operator="equal">
      <formula>"待确认"</formula>
    </cfRule>
    <cfRule type="cellIs" dxfId="13" priority="42" stopIfTrue="1" operator="equal">
      <formula>"完成"</formula>
    </cfRule>
    <cfRule type="cellIs" dxfId="12" priority="43" stopIfTrue="1" operator="equal">
      <formula>"未推进"</formula>
    </cfRule>
  </conditionalFormatting>
  <conditionalFormatting sqref="L333">
    <cfRule type="cellIs" dxfId="11" priority="50" stopIfTrue="1" operator="equal">
      <formula>"待确认"</formula>
    </cfRule>
    <cfRule type="cellIs" dxfId="10" priority="51" stopIfTrue="1" operator="equal">
      <formula>"完成"</formula>
    </cfRule>
    <cfRule type="cellIs" dxfId="9" priority="52" stopIfTrue="1" operator="equal">
      <formula>"未推进"</formula>
    </cfRule>
  </conditionalFormatting>
  <conditionalFormatting sqref="L342">
    <cfRule type="cellIs" dxfId="8" priority="40" stopIfTrue="1" operator="equal">
      <formula>"未推进"</formula>
    </cfRule>
    <cfRule type="cellIs" dxfId="7" priority="38" stopIfTrue="1" operator="equal">
      <formula>"待确认"</formula>
    </cfRule>
    <cfRule type="cellIs" dxfId="6" priority="39" stopIfTrue="1" operator="equal">
      <formula>"完成"</formula>
    </cfRule>
  </conditionalFormatting>
  <conditionalFormatting sqref="L347:L348">
    <cfRule type="cellIs" dxfId="5" priority="5" stopIfTrue="1" operator="equal">
      <formula>"待确认"</formula>
    </cfRule>
    <cfRule type="cellIs" dxfId="4" priority="9" stopIfTrue="1" operator="equal">
      <formula>"未推进"</formula>
    </cfRule>
    <cfRule type="cellIs" dxfId="3" priority="7" stopIfTrue="1" operator="equal">
      <formula>"完成"</formula>
    </cfRule>
  </conditionalFormatting>
  <conditionalFormatting sqref="L479:L488">
    <cfRule type="cellIs" dxfId="2" priority="4" stopIfTrue="1" operator="equal">
      <formula>"未推进"</formula>
    </cfRule>
    <cfRule type="cellIs" dxfId="1" priority="2" stopIfTrue="1" operator="equal">
      <formula>"待确认"</formula>
    </cfRule>
    <cfRule type="cellIs" dxfId="0" priority="3" stopIfTrue="1" operator="equal">
      <formula>"完成"</formula>
    </cfRule>
  </conditionalFormatting>
  <dataValidations count="3">
    <dataValidation type="list" allowBlank="1" showErrorMessage="1" sqref="T4:T526" xr:uid="{00000000-0002-0000-0200-000000000000}">
      <formula1>"完成,进行中,未进行"</formula1>
    </dataValidation>
    <dataValidation type="list" allowBlank="1" showErrorMessage="1" sqref="L4:L526 J426 J441:J442 J447" xr:uid="{00000000-0002-0000-0200-000001000000}">
      <formula1>"完成,设计中,开发中,测试中,未推进,待确认"</formula1>
    </dataValidation>
    <dataValidation type="list" allowBlank="1" showErrorMessage="1" sqref="M4:M526" xr:uid="{00000000-0002-0000-0200-000002000000}">
      <formula1>"2022,2023 1Q,2023 2Q"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3084-4764-47D4-974F-11CF6D92CBD9}">
  <dimension ref="A1:C232"/>
  <sheetViews>
    <sheetView workbookViewId="0"/>
  </sheetViews>
  <sheetFormatPr defaultColWidth="14" defaultRowHeight="13" x14ac:dyDescent="0.3"/>
  <cols>
    <col min="1" max="1" width="41" customWidth="1"/>
    <col min="2" max="2" width="50" customWidth="1"/>
    <col min="3" max="3" width="41" customWidth="1"/>
    <col min="4" max="20" width="11" customWidth="1"/>
  </cols>
  <sheetData>
    <row r="1" spans="1:3" ht="17" customHeight="1" x14ac:dyDescent="0.3">
      <c r="A1" s="54" t="s">
        <v>951</v>
      </c>
      <c r="B1" s="54" t="s">
        <v>952</v>
      </c>
      <c r="C1" s="54" t="s">
        <v>953</v>
      </c>
    </row>
    <row r="2" spans="1:3" ht="17" customHeight="1" x14ac:dyDescent="0.3">
      <c r="A2" s="53" t="s">
        <v>248</v>
      </c>
      <c r="B2" s="53" t="s">
        <v>48</v>
      </c>
      <c r="C2" s="53" t="s">
        <v>734</v>
      </c>
    </row>
    <row r="3" spans="1:3" ht="17" customHeight="1" x14ac:dyDescent="0.3">
      <c r="A3" s="53" t="s">
        <v>248</v>
      </c>
      <c r="B3" s="53" t="s">
        <v>48</v>
      </c>
      <c r="C3" s="53" t="s">
        <v>735</v>
      </c>
    </row>
    <row r="4" spans="1:3" ht="17" customHeight="1" x14ac:dyDescent="0.3">
      <c r="A4" s="53" t="s">
        <v>248</v>
      </c>
      <c r="B4" s="53" t="s">
        <v>48</v>
      </c>
      <c r="C4" s="53" t="s">
        <v>737</v>
      </c>
    </row>
    <row r="5" spans="1:3" ht="17" customHeight="1" x14ac:dyDescent="0.3">
      <c r="A5" s="53" t="s">
        <v>248</v>
      </c>
      <c r="B5" s="53" t="s">
        <v>48</v>
      </c>
      <c r="C5" s="53" t="s">
        <v>740</v>
      </c>
    </row>
    <row r="6" spans="1:3" ht="17" customHeight="1" x14ac:dyDescent="0.3">
      <c r="A6" s="53" t="s">
        <v>248</v>
      </c>
      <c r="B6" s="53" t="s">
        <v>48</v>
      </c>
      <c r="C6" s="53" t="s">
        <v>741</v>
      </c>
    </row>
    <row r="7" spans="1:3" ht="17" customHeight="1" x14ac:dyDescent="0.3">
      <c r="A7" s="53" t="s">
        <v>248</v>
      </c>
      <c r="B7" s="53" t="s">
        <v>48</v>
      </c>
      <c r="C7" s="53" t="s">
        <v>743</v>
      </c>
    </row>
    <row r="8" spans="1:3" ht="17" customHeight="1" x14ac:dyDescent="0.3">
      <c r="A8" s="53" t="s">
        <v>248</v>
      </c>
      <c r="B8" s="53" t="s">
        <v>48</v>
      </c>
      <c r="C8" s="53" t="s">
        <v>745</v>
      </c>
    </row>
    <row r="9" spans="1:3" ht="17" customHeight="1" x14ac:dyDescent="0.3">
      <c r="A9" s="53" t="s">
        <v>248</v>
      </c>
      <c r="B9" s="53" t="s">
        <v>954</v>
      </c>
      <c r="C9" s="53" t="s">
        <v>746</v>
      </c>
    </row>
    <row r="10" spans="1:3" ht="17" customHeight="1" x14ac:dyDescent="0.3">
      <c r="A10" s="53" t="s">
        <v>248</v>
      </c>
      <c r="B10" s="53" t="s">
        <v>954</v>
      </c>
      <c r="C10" s="53" t="s">
        <v>749</v>
      </c>
    </row>
    <row r="11" spans="1:3" ht="17" customHeight="1" x14ac:dyDescent="0.3">
      <c r="A11" s="53" t="s">
        <v>248</v>
      </c>
      <c r="B11" s="53" t="s">
        <v>954</v>
      </c>
      <c r="C11" s="53" t="s">
        <v>751</v>
      </c>
    </row>
    <row r="12" spans="1:3" ht="17" customHeight="1" x14ac:dyDescent="0.3">
      <c r="A12" s="53" t="s">
        <v>248</v>
      </c>
      <c r="B12" s="53" t="s">
        <v>954</v>
      </c>
      <c r="C12" s="53" t="s">
        <v>753</v>
      </c>
    </row>
    <row r="13" spans="1:3" ht="17" customHeight="1" x14ac:dyDescent="0.3">
      <c r="A13" s="53" t="s">
        <v>248</v>
      </c>
      <c r="B13" s="53" t="s">
        <v>954</v>
      </c>
      <c r="C13" s="53" t="s">
        <v>756</v>
      </c>
    </row>
    <row r="14" spans="1:3" ht="17" customHeight="1" x14ac:dyDescent="0.3">
      <c r="A14" s="53" t="s">
        <v>248</v>
      </c>
      <c r="B14" s="53" t="s">
        <v>954</v>
      </c>
      <c r="C14" s="53" t="s">
        <v>757</v>
      </c>
    </row>
    <row r="15" spans="1:3" ht="17" customHeight="1" x14ac:dyDescent="0.3">
      <c r="A15" s="53" t="s">
        <v>248</v>
      </c>
      <c r="B15" s="53" t="s">
        <v>955</v>
      </c>
      <c r="C15" s="53" t="s">
        <v>758</v>
      </c>
    </row>
    <row r="16" spans="1:3" ht="17" customHeight="1" x14ac:dyDescent="0.3">
      <c r="A16" s="53" t="s">
        <v>248</v>
      </c>
      <c r="B16" s="53" t="s">
        <v>955</v>
      </c>
      <c r="C16" s="53" t="s">
        <v>759</v>
      </c>
    </row>
    <row r="17" spans="1:3" ht="17" customHeight="1" x14ac:dyDescent="0.3">
      <c r="A17" s="53" t="s">
        <v>248</v>
      </c>
      <c r="B17" s="53" t="s">
        <v>955</v>
      </c>
      <c r="C17" s="53" t="s">
        <v>761</v>
      </c>
    </row>
    <row r="18" spans="1:3" ht="17" customHeight="1" x14ac:dyDescent="0.3">
      <c r="A18" s="53" t="s">
        <v>248</v>
      </c>
      <c r="B18" s="53" t="s">
        <v>955</v>
      </c>
      <c r="C18" s="53" t="s">
        <v>762</v>
      </c>
    </row>
    <row r="19" spans="1:3" ht="17" customHeight="1" x14ac:dyDescent="0.3">
      <c r="A19" s="53" t="s">
        <v>248</v>
      </c>
      <c r="B19" s="53" t="s">
        <v>955</v>
      </c>
      <c r="C19" s="53" t="s">
        <v>763</v>
      </c>
    </row>
    <row r="20" spans="1:3" ht="17" customHeight="1" x14ac:dyDescent="0.3">
      <c r="A20" s="53" t="s">
        <v>248</v>
      </c>
      <c r="B20" s="53" t="s">
        <v>955</v>
      </c>
      <c r="C20" s="53" t="s">
        <v>765</v>
      </c>
    </row>
    <row r="21" spans="1:3" ht="17" customHeight="1" x14ac:dyDescent="0.3">
      <c r="A21" s="53" t="s">
        <v>248</v>
      </c>
      <c r="B21" s="53" t="s">
        <v>955</v>
      </c>
      <c r="C21" s="53" t="s">
        <v>766</v>
      </c>
    </row>
    <row r="22" spans="1:3" ht="17" customHeight="1" x14ac:dyDescent="0.3">
      <c r="A22" s="53" t="s">
        <v>248</v>
      </c>
      <c r="B22" s="53" t="s">
        <v>956</v>
      </c>
      <c r="C22" s="53" t="s">
        <v>801</v>
      </c>
    </row>
    <row r="23" spans="1:3" ht="17" customHeight="1" x14ac:dyDescent="0.3">
      <c r="A23" s="53" t="s">
        <v>248</v>
      </c>
      <c r="B23" s="53" t="s">
        <v>956</v>
      </c>
      <c r="C23" s="53" t="s">
        <v>801</v>
      </c>
    </row>
    <row r="24" spans="1:3" ht="17" customHeight="1" x14ac:dyDescent="0.3">
      <c r="A24" s="53" t="s">
        <v>248</v>
      </c>
      <c r="B24" s="53" t="s">
        <v>956</v>
      </c>
      <c r="C24" s="53" t="s">
        <v>789</v>
      </c>
    </row>
    <row r="25" spans="1:3" ht="17" customHeight="1" x14ac:dyDescent="0.3">
      <c r="A25" s="53" t="s">
        <v>248</v>
      </c>
      <c r="B25" s="53" t="s">
        <v>956</v>
      </c>
      <c r="C25" s="53" t="s">
        <v>798</v>
      </c>
    </row>
    <row r="26" spans="1:3" ht="17" customHeight="1" x14ac:dyDescent="0.3">
      <c r="A26" s="53" t="s">
        <v>248</v>
      </c>
      <c r="B26" s="53" t="s">
        <v>956</v>
      </c>
      <c r="C26" s="53" t="s">
        <v>792</v>
      </c>
    </row>
    <row r="27" spans="1:3" ht="17" customHeight="1" x14ac:dyDescent="0.3">
      <c r="A27" s="53" t="s">
        <v>248</v>
      </c>
      <c r="B27" s="53" t="s">
        <v>956</v>
      </c>
      <c r="C27" s="53" t="s">
        <v>795</v>
      </c>
    </row>
    <row r="28" spans="1:3" ht="17" customHeight="1" x14ac:dyDescent="0.3">
      <c r="A28" s="53" t="s">
        <v>248</v>
      </c>
      <c r="B28" s="53" t="s">
        <v>956</v>
      </c>
      <c r="C28" s="53" t="s">
        <v>805</v>
      </c>
    </row>
    <row r="29" spans="1:3" ht="17" customHeight="1" x14ac:dyDescent="0.3">
      <c r="A29" s="53" t="s">
        <v>248</v>
      </c>
      <c r="B29" s="53" t="s">
        <v>956</v>
      </c>
      <c r="C29" s="53" t="s">
        <v>807</v>
      </c>
    </row>
    <row r="30" spans="1:3" ht="17" customHeight="1" x14ac:dyDescent="0.3">
      <c r="A30" s="53" t="s">
        <v>248</v>
      </c>
      <c r="B30" s="53" t="s">
        <v>956</v>
      </c>
      <c r="C30" s="53" t="s">
        <v>809</v>
      </c>
    </row>
    <row r="31" spans="1:3" ht="17" customHeight="1" x14ac:dyDescent="0.3">
      <c r="A31" s="53" t="s">
        <v>248</v>
      </c>
      <c r="B31" s="53" t="s">
        <v>956</v>
      </c>
      <c r="C31" s="53" t="s">
        <v>810</v>
      </c>
    </row>
    <row r="32" spans="1:3" ht="17" customHeight="1" x14ac:dyDescent="0.3">
      <c r="A32" s="53" t="s">
        <v>248</v>
      </c>
      <c r="B32" s="53" t="s">
        <v>956</v>
      </c>
      <c r="C32" s="53" t="s">
        <v>957</v>
      </c>
    </row>
    <row r="33" spans="1:3" ht="17" customHeight="1" x14ac:dyDescent="0.3">
      <c r="A33" s="53" t="s">
        <v>248</v>
      </c>
      <c r="B33" s="53" t="s">
        <v>956</v>
      </c>
      <c r="C33" s="53" t="s">
        <v>958</v>
      </c>
    </row>
    <row r="34" spans="1:3" ht="17" customHeight="1" x14ac:dyDescent="0.3">
      <c r="A34" s="53" t="s">
        <v>248</v>
      </c>
      <c r="B34" s="53" t="s">
        <v>956</v>
      </c>
      <c r="C34" s="53" t="s">
        <v>811</v>
      </c>
    </row>
    <row r="35" spans="1:3" ht="17" customHeight="1" x14ac:dyDescent="0.3">
      <c r="A35" s="53" t="s">
        <v>248</v>
      </c>
      <c r="B35" s="53" t="s">
        <v>959</v>
      </c>
      <c r="C35" s="53" t="s">
        <v>814</v>
      </c>
    </row>
    <row r="36" spans="1:3" ht="17" customHeight="1" x14ac:dyDescent="0.3">
      <c r="A36" s="53" t="s">
        <v>248</v>
      </c>
      <c r="B36" s="53" t="s">
        <v>959</v>
      </c>
      <c r="C36" s="53" t="s">
        <v>852</v>
      </c>
    </row>
    <row r="37" spans="1:3" ht="17" customHeight="1" x14ac:dyDescent="0.3">
      <c r="A37" s="53" t="s">
        <v>248</v>
      </c>
      <c r="B37" s="53" t="s">
        <v>959</v>
      </c>
      <c r="C37" s="53" t="s">
        <v>812</v>
      </c>
    </row>
    <row r="38" spans="1:3" ht="17" customHeight="1" x14ac:dyDescent="0.3">
      <c r="A38" s="53" t="s">
        <v>248</v>
      </c>
      <c r="B38" s="53" t="s">
        <v>254</v>
      </c>
      <c r="C38" s="53" t="s">
        <v>774</v>
      </c>
    </row>
    <row r="39" spans="1:3" ht="17" customHeight="1" x14ac:dyDescent="0.3">
      <c r="A39" s="53" t="s">
        <v>248</v>
      </c>
      <c r="B39" s="53" t="s">
        <v>254</v>
      </c>
      <c r="C39" s="53" t="s">
        <v>772</v>
      </c>
    </row>
    <row r="40" spans="1:3" ht="17" customHeight="1" x14ac:dyDescent="0.3">
      <c r="A40" s="53" t="s">
        <v>248</v>
      </c>
      <c r="B40" s="53" t="s">
        <v>254</v>
      </c>
      <c r="C40" s="53" t="s">
        <v>960</v>
      </c>
    </row>
    <row r="41" spans="1:3" ht="17" customHeight="1" x14ac:dyDescent="0.3">
      <c r="A41" s="53" t="s">
        <v>248</v>
      </c>
      <c r="B41" s="53" t="s">
        <v>254</v>
      </c>
      <c r="C41" s="53" t="s">
        <v>770</v>
      </c>
    </row>
    <row r="42" spans="1:3" ht="17" customHeight="1" x14ac:dyDescent="0.3">
      <c r="A42" s="53" t="s">
        <v>248</v>
      </c>
      <c r="B42" s="53" t="s">
        <v>254</v>
      </c>
      <c r="C42" s="53" t="s">
        <v>961</v>
      </c>
    </row>
    <row r="43" spans="1:3" ht="17" customHeight="1" x14ac:dyDescent="0.3">
      <c r="A43" s="53" t="s">
        <v>248</v>
      </c>
      <c r="B43" s="53" t="s">
        <v>631</v>
      </c>
      <c r="C43" s="53" t="s">
        <v>819</v>
      </c>
    </row>
    <row r="44" spans="1:3" ht="17" customHeight="1" x14ac:dyDescent="0.3">
      <c r="A44" s="53" t="s">
        <v>248</v>
      </c>
      <c r="B44" s="53" t="s">
        <v>631</v>
      </c>
      <c r="C44" s="53" t="s">
        <v>822</v>
      </c>
    </row>
    <row r="45" spans="1:3" ht="17" customHeight="1" x14ac:dyDescent="0.3">
      <c r="A45" s="53" t="s">
        <v>248</v>
      </c>
      <c r="B45" s="53" t="s">
        <v>631</v>
      </c>
      <c r="C45" s="53" t="s">
        <v>825</v>
      </c>
    </row>
    <row r="46" spans="1:3" ht="17" customHeight="1" x14ac:dyDescent="0.3">
      <c r="A46" s="53" t="s">
        <v>248</v>
      </c>
      <c r="B46" s="53" t="s">
        <v>631</v>
      </c>
      <c r="C46" s="53" t="s">
        <v>826</v>
      </c>
    </row>
    <row r="47" spans="1:3" ht="17" customHeight="1" x14ac:dyDescent="0.3">
      <c r="A47" s="53" t="s">
        <v>248</v>
      </c>
      <c r="B47" s="53" t="s">
        <v>631</v>
      </c>
      <c r="C47" s="53" t="s">
        <v>827</v>
      </c>
    </row>
    <row r="48" spans="1:3" ht="17" customHeight="1" x14ac:dyDescent="0.3">
      <c r="A48" s="53" t="s">
        <v>248</v>
      </c>
      <c r="B48" s="53" t="s">
        <v>631</v>
      </c>
      <c r="C48" s="53" t="s">
        <v>828</v>
      </c>
    </row>
    <row r="49" spans="1:3" ht="17" customHeight="1" x14ac:dyDescent="0.3">
      <c r="A49" s="53" t="s">
        <v>248</v>
      </c>
      <c r="B49" s="53" t="s">
        <v>962</v>
      </c>
      <c r="C49" s="53" t="s">
        <v>783</v>
      </c>
    </row>
    <row r="50" spans="1:3" ht="17" customHeight="1" x14ac:dyDescent="0.3">
      <c r="A50" s="53" t="s">
        <v>248</v>
      </c>
      <c r="B50" s="53" t="s">
        <v>962</v>
      </c>
      <c r="C50" s="53" t="s">
        <v>784</v>
      </c>
    </row>
    <row r="51" spans="1:3" ht="17" customHeight="1" x14ac:dyDescent="0.3">
      <c r="A51" s="53" t="s">
        <v>248</v>
      </c>
      <c r="B51" s="53" t="s">
        <v>962</v>
      </c>
      <c r="C51" s="53" t="s">
        <v>785</v>
      </c>
    </row>
    <row r="52" spans="1:3" ht="17" customHeight="1" x14ac:dyDescent="0.3">
      <c r="A52" s="53" t="s">
        <v>248</v>
      </c>
      <c r="B52" s="53" t="s">
        <v>962</v>
      </c>
      <c r="C52" s="53" t="s">
        <v>786</v>
      </c>
    </row>
    <row r="53" spans="1:3" ht="17" customHeight="1" x14ac:dyDescent="0.3">
      <c r="A53" s="53" t="s">
        <v>161</v>
      </c>
      <c r="B53" s="53" t="s">
        <v>604</v>
      </c>
      <c r="C53" s="53" t="s">
        <v>604</v>
      </c>
    </row>
    <row r="54" spans="1:3" ht="17" customHeight="1" x14ac:dyDescent="0.3">
      <c r="A54" s="53" t="s">
        <v>161</v>
      </c>
      <c r="B54" s="53" t="s">
        <v>604</v>
      </c>
      <c r="C54" s="53" t="s">
        <v>610</v>
      </c>
    </row>
    <row r="55" spans="1:3" ht="17" customHeight="1" x14ac:dyDescent="0.3">
      <c r="A55" s="53" t="s">
        <v>161</v>
      </c>
      <c r="B55" s="53" t="s">
        <v>604</v>
      </c>
      <c r="C55" s="53" t="s">
        <v>599</v>
      </c>
    </row>
    <row r="56" spans="1:3" ht="17" customHeight="1" x14ac:dyDescent="0.3">
      <c r="A56" s="53" t="s">
        <v>161</v>
      </c>
      <c r="B56" s="53" t="s">
        <v>604</v>
      </c>
      <c r="C56" s="53" t="s">
        <v>607</v>
      </c>
    </row>
    <row r="57" spans="1:3" ht="17" customHeight="1" x14ac:dyDescent="0.3">
      <c r="A57" s="53" t="s">
        <v>161</v>
      </c>
      <c r="B57" s="53" t="s">
        <v>604</v>
      </c>
      <c r="C57" s="53" t="s">
        <v>602</v>
      </c>
    </row>
    <row r="58" spans="1:3" ht="17" customHeight="1" x14ac:dyDescent="0.3">
      <c r="A58" s="53" t="s">
        <v>161</v>
      </c>
      <c r="B58" s="53" t="s">
        <v>604</v>
      </c>
      <c r="C58" s="53" t="s">
        <v>609</v>
      </c>
    </row>
    <row r="59" spans="1:3" ht="17" customHeight="1" x14ac:dyDescent="0.3">
      <c r="A59" s="53" t="s">
        <v>161</v>
      </c>
      <c r="B59" s="53" t="s">
        <v>963</v>
      </c>
      <c r="C59" s="53" t="s">
        <v>628</v>
      </c>
    </row>
    <row r="60" spans="1:3" ht="17" customHeight="1" x14ac:dyDescent="0.3">
      <c r="A60" s="53" t="s">
        <v>161</v>
      </c>
      <c r="B60" s="53" t="s">
        <v>963</v>
      </c>
      <c r="C60" s="53" t="s">
        <v>623</v>
      </c>
    </row>
    <row r="61" spans="1:3" ht="17" customHeight="1" x14ac:dyDescent="0.3">
      <c r="A61" s="53" t="s">
        <v>161</v>
      </c>
      <c r="B61" s="53" t="s">
        <v>963</v>
      </c>
      <c r="C61" s="53" t="s">
        <v>625</v>
      </c>
    </row>
    <row r="62" spans="1:3" ht="17" customHeight="1" x14ac:dyDescent="0.3">
      <c r="A62" s="53" t="s">
        <v>161</v>
      </c>
      <c r="B62" s="53" t="s">
        <v>963</v>
      </c>
      <c r="C62" s="53" t="s">
        <v>618</v>
      </c>
    </row>
    <row r="63" spans="1:3" ht="17" customHeight="1" x14ac:dyDescent="0.3">
      <c r="A63" s="53" t="s">
        <v>161</v>
      </c>
      <c r="B63" s="53" t="s">
        <v>963</v>
      </c>
      <c r="C63" s="53" t="s">
        <v>627</v>
      </c>
    </row>
    <row r="64" spans="1:3" ht="17" customHeight="1" x14ac:dyDescent="0.3">
      <c r="A64" s="53" t="s">
        <v>161</v>
      </c>
      <c r="B64" s="53" t="s">
        <v>963</v>
      </c>
      <c r="C64" s="53" t="s">
        <v>620</v>
      </c>
    </row>
    <row r="65" spans="1:3" ht="17" customHeight="1" x14ac:dyDescent="0.3">
      <c r="A65" s="53" t="s">
        <v>161</v>
      </c>
      <c r="B65" s="53" t="s">
        <v>649</v>
      </c>
      <c r="C65" s="53" t="s">
        <v>649</v>
      </c>
    </row>
    <row r="66" spans="1:3" ht="17" customHeight="1" x14ac:dyDescent="0.3">
      <c r="A66" s="53" t="s">
        <v>161</v>
      </c>
      <c r="B66" s="53" t="s">
        <v>649</v>
      </c>
      <c r="C66" s="53" t="s">
        <v>647</v>
      </c>
    </row>
    <row r="67" spans="1:3" ht="17" customHeight="1" x14ac:dyDescent="0.3">
      <c r="A67" s="53" t="s">
        <v>161</v>
      </c>
      <c r="B67" s="53" t="s">
        <v>649</v>
      </c>
      <c r="C67" s="53" t="s">
        <v>646</v>
      </c>
    </row>
    <row r="68" spans="1:3" ht="17" customHeight="1" x14ac:dyDescent="0.3">
      <c r="A68" s="53" t="s">
        <v>161</v>
      </c>
      <c r="B68" s="53" t="s">
        <v>192</v>
      </c>
      <c r="C68" s="53" t="s">
        <v>651</v>
      </c>
    </row>
    <row r="69" spans="1:3" ht="17" customHeight="1" x14ac:dyDescent="0.3">
      <c r="A69" s="53" t="s">
        <v>161</v>
      </c>
      <c r="B69" s="53" t="s">
        <v>192</v>
      </c>
      <c r="C69" s="53" t="s">
        <v>657</v>
      </c>
    </row>
    <row r="70" spans="1:3" ht="17" customHeight="1" x14ac:dyDescent="0.3">
      <c r="A70" s="53" t="s">
        <v>161</v>
      </c>
      <c r="B70" s="53" t="s">
        <v>192</v>
      </c>
      <c r="C70" s="53" t="s">
        <v>652</v>
      </c>
    </row>
    <row r="71" spans="1:3" ht="17" customHeight="1" x14ac:dyDescent="0.3">
      <c r="A71" s="53" t="s">
        <v>161</v>
      </c>
      <c r="B71" s="53" t="s">
        <v>192</v>
      </c>
      <c r="C71" s="53" t="s">
        <v>655</v>
      </c>
    </row>
    <row r="72" spans="1:3" ht="17" customHeight="1" x14ac:dyDescent="0.3">
      <c r="A72" s="53" t="s">
        <v>161</v>
      </c>
      <c r="B72" s="53" t="s">
        <v>192</v>
      </c>
      <c r="C72" s="53" t="s">
        <v>653</v>
      </c>
    </row>
    <row r="73" spans="1:3" ht="17" customHeight="1" x14ac:dyDescent="0.3">
      <c r="A73" s="53" t="s">
        <v>161</v>
      </c>
      <c r="B73" s="53" t="s">
        <v>192</v>
      </c>
      <c r="C73" s="53" t="s">
        <v>654</v>
      </c>
    </row>
    <row r="74" spans="1:3" ht="17" customHeight="1" x14ac:dyDescent="0.3">
      <c r="A74" s="53" t="s">
        <v>161</v>
      </c>
      <c r="B74" s="53" t="s">
        <v>631</v>
      </c>
      <c r="C74" s="53" t="s">
        <v>643</v>
      </c>
    </row>
    <row r="75" spans="1:3" ht="17" customHeight="1" x14ac:dyDescent="0.3">
      <c r="A75" s="53" t="s">
        <v>161</v>
      </c>
      <c r="B75" s="53" t="s">
        <v>631</v>
      </c>
      <c r="C75" s="53" t="s">
        <v>640</v>
      </c>
    </row>
    <row r="76" spans="1:3" ht="17" customHeight="1" x14ac:dyDescent="0.3">
      <c r="A76" s="53" t="s">
        <v>161</v>
      </c>
      <c r="B76" s="53" t="s">
        <v>631</v>
      </c>
      <c r="C76" s="53" t="s">
        <v>637</v>
      </c>
    </row>
    <row r="77" spans="1:3" ht="17" customHeight="1" x14ac:dyDescent="0.3">
      <c r="A77" s="53" t="s">
        <v>161</v>
      </c>
      <c r="B77" s="53" t="s">
        <v>631</v>
      </c>
      <c r="C77" s="53" t="s">
        <v>532</v>
      </c>
    </row>
    <row r="78" spans="1:3" ht="17" customHeight="1" x14ac:dyDescent="0.3">
      <c r="A78" s="53" t="s">
        <v>161</v>
      </c>
      <c r="B78" s="53" t="s">
        <v>631</v>
      </c>
      <c r="C78" s="53" t="s">
        <v>527</v>
      </c>
    </row>
    <row r="79" spans="1:3" ht="17" customHeight="1" x14ac:dyDescent="0.3">
      <c r="A79" s="53" t="s">
        <v>161</v>
      </c>
      <c r="B79" s="53" t="s">
        <v>631</v>
      </c>
      <c r="C79" s="53" t="s">
        <v>634</v>
      </c>
    </row>
    <row r="80" spans="1:3" ht="17" customHeight="1" x14ac:dyDescent="0.3">
      <c r="A80" s="53" t="s">
        <v>161</v>
      </c>
      <c r="B80" s="53" t="s">
        <v>631</v>
      </c>
      <c r="C80" s="53" t="s">
        <v>636</v>
      </c>
    </row>
    <row r="81" spans="1:3" ht="17" customHeight="1" x14ac:dyDescent="0.3">
      <c r="A81" s="53" t="s">
        <v>161</v>
      </c>
      <c r="B81" s="53" t="s">
        <v>159</v>
      </c>
      <c r="C81" s="53" t="s">
        <v>592</v>
      </c>
    </row>
    <row r="82" spans="1:3" ht="17" customHeight="1" x14ac:dyDescent="0.3">
      <c r="A82" s="53" t="s">
        <v>161</v>
      </c>
      <c r="B82" s="53" t="s">
        <v>159</v>
      </c>
      <c r="C82" s="53" t="s">
        <v>595</v>
      </c>
    </row>
    <row r="83" spans="1:3" ht="17" customHeight="1" x14ac:dyDescent="0.3">
      <c r="A83" s="53" t="s">
        <v>161</v>
      </c>
      <c r="B83" s="53" t="s">
        <v>159</v>
      </c>
      <c r="C83" s="53" t="s">
        <v>591</v>
      </c>
    </row>
    <row r="84" spans="1:3" ht="17" customHeight="1" x14ac:dyDescent="0.3">
      <c r="A84" s="53" t="s">
        <v>161</v>
      </c>
      <c r="B84" s="53" t="s">
        <v>438</v>
      </c>
      <c r="C84" s="53" t="s">
        <v>679</v>
      </c>
    </row>
    <row r="85" spans="1:3" ht="17" customHeight="1" x14ac:dyDescent="0.3">
      <c r="A85" s="53" t="s">
        <v>161</v>
      </c>
      <c r="B85" s="53" t="s">
        <v>438</v>
      </c>
      <c r="C85" s="53" t="s">
        <v>681</v>
      </c>
    </row>
    <row r="86" spans="1:3" ht="17" customHeight="1" x14ac:dyDescent="0.3">
      <c r="A86" s="53" t="s">
        <v>161</v>
      </c>
      <c r="B86" s="53" t="s">
        <v>438</v>
      </c>
      <c r="C86" s="53" t="s">
        <v>684</v>
      </c>
    </row>
    <row r="87" spans="1:3" ht="17" customHeight="1" x14ac:dyDescent="0.3">
      <c r="A87" s="53" t="s">
        <v>161</v>
      </c>
      <c r="B87" s="53" t="s">
        <v>438</v>
      </c>
      <c r="C87" s="53" t="s">
        <v>682</v>
      </c>
    </row>
    <row r="88" spans="1:3" ht="17" customHeight="1" x14ac:dyDescent="0.3">
      <c r="A88" s="53" t="s">
        <v>161</v>
      </c>
      <c r="B88" s="53" t="s">
        <v>438</v>
      </c>
      <c r="C88" s="53" t="s">
        <v>678</v>
      </c>
    </row>
    <row r="89" spans="1:3" ht="17" customHeight="1" x14ac:dyDescent="0.3">
      <c r="A89" s="53" t="s">
        <v>161</v>
      </c>
      <c r="B89" s="53" t="s">
        <v>964</v>
      </c>
      <c r="C89" s="53" t="s">
        <v>673</v>
      </c>
    </row>
    <row r="90" spans="1:3" ht="17" customHeight="1" x14ac:dyDescent="0.3">
      <c r="A90" s="53" t="s">
        <v>161</v>
      </c>
      <c r="B90" s="53" t="s">
        <v>964</v>
      </c>
      <c r="C90" s="53" t="s">
        <v>675</v>
      </c>
    </row>
    <row r="91" spans="1:3" ht="17" customHeight="1" x14ac:dyDescent="0.3">
      <c r="A91" s="53" t="s">
        <v>161</v>
      </c>
      <c r="B91" s="53" t="s">
        <v>964</v>
      </c>
      <c r="C91" s="53" t="s">
        <v>345</v>
      </c>
    </row>
    <row r="92" spans="1:3" ht="17" customHeight="1" x14ac:dyDescent="0.3">
      <c r="A92" s="53" t="s">
        <v>161</v>
      </c>
      <c r="B92" s="53" t="s">
        <v>964</v>
      </c>
      <c r="C92" s="53" t="s">
        <v>348</v>
      </c>
    </row>
    <row r="93" spans="1:3" ht="17" customHeight="1" x14ac:dyDescent="0.3">
      <c r="A93" s="53" t="s">
        <v>161</v>
      </c>
      <c r="B93" s="53" t="s">
        <v>227</v>
      </c>
      <c r="C93" s="53" t="s">
        <v>615</v>
      </c>
    </row>
    <row r="94" spans="1:3" ht="17" customHeight="1" x14ac:dyDescent="0.3">
      <c r="A94" s="53" t="s">
        <v>161</v>
      </c>
      <c r="B94" s="53" t="s">
        <v>227</v>
      </c>
      <c r="C94" s="53" t="s">
        <v>686</v>
      </c>
    </row>
    <row r="95" spans="1:3" ht="17" customHeight="1" x14ac:dyDescent="0.3">
      <c r="A95" s="53" t="s">
        <v>161</v>
      </c>
      <c r="B95" s="53" t="s">
        <v>227</v>
      </c>
      <c r="C95" s="53" t="s">
        <v>694</v>
      </c>
    </row>
    <row r="96" spans="1:3" ht="17" customHeight="1" x14ac:dyDescent="0.3">
      <c r="A96" s="53" t="s">
        <v>161</v>
      </c>
      <c r="B96" s="53" t="s">
        <v>227</v>
      </c>
      <c r="C96" s="53" t="s">
        <v>688</v>
      </c>
    </row>
    <row r="97" spans="1:3" ht="17" customHeight="1" x14ac:dyDescent="0.3">
      <c r="A97" s="53" t="s">
        <v>161</v>
      </c>
      <c r="B97" s="53" t="s">
        <v>227</v>
      </c>
      <c r="C97" s="53" t="s">
        <v>617</v>
      </c>
    </row>
    <row r="98" spans="1:3" ht="17" customHeight="1" x14ac:dyDescent="0.3">
      <c r="A98" s="53" t="s">
        <v>161</v>
      </c>
      <c r="B98" s="53" t="s">
        <v>965</v>
      </c>
      <c r="C98" s="53" t="s">
        <v>581</v>
      </c>
    </row>
    <row r="99" spans="1:3" ht="17" customHeight="1" x14ac:dyDescent="0.3">
      <c r="A99" s="53" t="s">
        <v>161</v>
      </c>
      <c r="B99" s="53" t="s">
        <v>965</v>
      </c>
      <c r="C99" s="53" t="s">
        <v>704</v>
      </c>
    </row>
    <row r="100" spans="1:3" ht="17" customHeight="1" x14ac:dyDescent="0.3">
      <c r="A100" s="53" t="s">
        <v>161</v>
      </c>
      <c r="B100" s="53" t="s">
        <v>965</v>
      </c>
      <c r="C100" s="53" t="s">
        <v>588</v>
      </c>
    </row>
    <row r="101" spans="1:3" ht="17" customHeight="1" x14ac:dyDescent="0.3">
      <c r="A101" s="53" t="s">
        <v>161</v>
      </c>
      <c r="B101" s="53" t="s">
        <v>965</v>
      </c>
      <c r="C101" s="53" t="s">
        <v>582</v>
      </c>
    </row>
    <row r="102" spans="1:3" ht="17" customHeight="1" x14ac:dyDescent="0.3">
      <c r="A102" s="53" t="s">
        <v>161</v>
      </c>
      <c r="B102" s="53" t="s">
        <v>965</v>
      </c>
      <c r="C102" s="53" t="s">
        <v>584</v>
      </c>
    </row>
    <row r="103" spans="1:3" ht="17" customHeight="1" x14ac:dyDescent="0.3">
      <c r="A103" s="53" t="s">
        <v>161</v>
      </c>
      <c r="B103" s="53" t="s">
        <v>965</v>
      </c>
      <c r="C103" s="53" t="s">
        <v>586</v>
      </c>
    </row>
    <row r="104" spans="1:3" ht="17" customHeight="1" x14ac:dyDescent="0.3">
      <c r="A104" s="53" t="s">
        <v>161</v>
      </c>
      <c r="B104" s="53" t="s">
        <v>965</v>
      </c>
      <c r="C104" s="53" t="s">
        <v>579</v>
      </c>
    </row>
    <row r="105" spans="1:3" ht="17" customHeight="1" x14ac:dyDescent="0.3">
      <c r="A105" s="53" t="s">
        <v>161</v>
      </c>
      <c r="B105" s="53" t="s">
        <v>446</v>
      </c>
      <c r="C105" s="53" t="s">
        <v>934</v>
      </c>
    </row>
    <row r="106" spans="1:3" ht="17" customHeight="1" x14ac:dyDescent="0.3">
      <c r="A106" s="53" t="s">
        <v>161</v>
      </c>
      <c r="B106" s="53" t="s">
        <v>446</v>
      </c>
      <c r="C106" s="53" t="s">
        <v>935</v>
      </c>
    </row>
    <row r="107" spans="1:3" ht="17" customHeight="1" x14ac:dyDescent="0.3">
      <c r="A107" s="53" t="s">
        <v>161</v>
      </c>
      <c r="B107" s="53" t="s">
        <v>446</v>
      </c>
      <c r="C107" s="53" t="s">
        <v>936</v>
      </c>
    </row>
    <row r="108" spans="1:3" ht="17" customHeight="1" x14ac:dyDescent="0.3">
      <c r="A108" s="53" t="s">
        <v>161</v>
      </c>
      <c r="B108" s="53" t="s">
        <v>446</v>
      </c>
      <c r="C108" s="53" t="s">
        <v>937</v>
      </c>
    </row>
    <row r="109" spans="1:3" ht="17" customHeight="1" x14ac:dyDescent="0.3">
      <c r="A109" s="53" t="s">
        <v>161</v>
      </c>
      <c r="B109" s="53" t="s">
        <v>446</v>
      </c>
      <c r="C109" s="53" t="s">
        <v>938</v>
      </c>
    </row>
    <row r="110" spans="1:3" ht="17" customHeight="1" x14ac:dyDescent="0.3">
      <c r="A110" s="53" t="s">
        <v>161</v>
      </c>
      <c r="B110" s="53" t="s">
        <v>697</v>
      </c>
      <c r="C110" s="53" t="s">
        <v>966</v>
      </c>
    </row>
    <row r="111" spans="1:3" ht="17" customHeight="1" x14ac:dyDescent="0.3">
      <c r="A111" s="53" t="s">
        <v>118</v>
      </c>
      <c r="B111" s="53" t="s">
        <v>967</v>
      </c>
      <c r="C111" s="53" t="s">
        <v>564</v>
      </c>
    </row>
    <row r="112" spans="1:3" ht="17" customHeight="1" x14ac:dyDescent="0.3">
      <c r="A112" s="53" t="s">
        <v>118</v>
      </c>
      <c r="B112" s="53" t="s">
        <v>118</v>
      </c>
      <c r="C112" s="53" t="s">
        <v>562</v>
      </c>
    </row>
    <row r="113" spans="1:3" ht="17" customHeight="1" x14ac:dyDescent="0.3">
      <c r="A113" s="53" t="s">
        <v>118</v>
      </c>
      <c r="B113" s="53" t="s">
        <v>118</v>
      </c>
      <c r="C113" s="53" t="s">
        <v>567</v>
      </c>
    </row>
    <row r="114" spans="1:3" ht="17" customHeight="1" x14ac:dyDescent="0.3">
      <c r="A114" s="53" t="s">
        <v>118</v>
      </c>
      <c r="B114" s="53" t="s">
        <v>967</v>
      </c>
      <c r="C114" s="53" t="s">
        <v>556</v>
      </c>
    </row>
    <row r="115" spans="1:3" ht="17" customHeight="1" x14ac:dyDescent="0.3">
      <c r="A115" s="53" t="s">
        <v>118</v>
      </c>
      <c r="B115" s="53" t="s">
        <v>118</v>
      </c>
      <c r="C115" s="53" t="s">
        <v>560</v>
      </c>
    </row>
    <row r="116" spans="1:3" ht="17" customHeight="1" x14ac:dyDescent="0.3">
      <c r="A116" s="53" t="s">
        <v>118</v>
      </c>
      <c r="B116" s="53" t="s">
        <v>118</v>
      </c>
      <c r="C116" s="53" t="s">
        <v>554</v>
      </c>
    </row>
    <row r="117" spans="1:3" ht="17" customHeight="1" x14ac:dyDescent="0.3">
      <c r="A117" s="53" t="s">
        <v>118</v>
      </c>
      <c r="B117" s="53" t="s">
        <v>153</v>
      </c>
      <c r="C117" s="53" t="s">
        <v>968</v>
      </c>
    </row>
    <row r="118" spans="1:3" ht="17" customHeight="1" x14ac:dyDescent="0.3">
      <c r="A118" s="53" t="s">
        <v>118</v>
      </c>
      <c r="B118" s="53" t="s">
        <v>153</v>
      </c>
      <c r="C118" s="53" t="s">
        <v>969</v>
      </c>
    </row>
    <row r="119" spans="1:3" ht="17" customHeight="1" x14ac:dyDescent="0.3">
      <c r="A119" s="53" t="s">
        <v>118</v>
      </c>
      <c r="B119" s="53" t="s">
        <v>153</v>
      </c>
      <c r="C119" s="53" t="s">
        <v>970</v>
      </c>
    </row>
    <row r="120" spans="1:3" ht="17" customHeight="1" x14ac:dyDescent="0.3">
      <c r="A120" s="53" t="s">
        <v>118</v>
      </c>
      <c r="B120" s="53" t="s">
        <v>153</v>
      </c>
      <c r="C120" s="53" t="s">
        <v>971</v>
      </c>
    </row>
    <row r="121" spans="1:3" ht="17" customHeight="1" x14ac:dyDescent="0.3">
      <c r="A121" s="53" t="s">
        <v>75</v>
      </c>
      <c r="B121" s="53" t="s">
        <v>972</v>
      </c>
      <c r="C121" s="53" t="s">
        <v>548</v>
      </c>
    </row>
    <row r="122" spans="1:3" ht="17" customHeight="1" x14ac:dyDescent="0.3">
      <c r="A122" s="53" t="s">
        <v>75</v>
      </c>
      <c r="B122" s="53" t="s">
        <v>972</v>
      </c>
      <c r="C122" s="53" t="s">
        <v>530</v>
      </c>
    </row>
    <row r="123" spans="1:3" ht="17" customHeight="1" x14ac:dyDescent="0.3">
      <c r="A123" s="53" t="s">
        <v>75</v>
      </c>
      <c r="B123" s="53" t="s">
        <v>972</v>
      </c>
      <c r="C123" s="53" t="s">
        <v>529</v>
      </c>
    </row>
    <row r="124" spans="1:3" ht="17" customHeight="1" x14ac:dyDescent="0.3">
      <c r="A124" s="53" t="s">
        <v>75</v>
      </c>
      <c r="B124" s="53" t="s">
        <v>972</v>
      </c>
      <c r="C124" s="53" t="s">
        <v>539</v>
      </c>
    </row>
    <row r="125" spans="1:3" ht="17" customHeight="1" x14ac:dyDescent="0.3">
      <c r="A125" s="53" t="s">
        <v>75</v>
      </c>
      <c r="B125" s="53" t="s">
        <v>972</v>
      </c>
      <c r="C125" s="53" t="s">
        <v>542</v>
      </c>
    </row>
    <row r="126" spans="1:3" ht="17" customHeight="1" x14ac:dyDescent="0.3">
      <c r="A126" s="53" t="s">
        <v>75</v>
      </c>
      <c r="B126" s="53" t="s">
        <v>972</v>
      </c>
      <c r="C126" s="53" t="s">
        <v>544</v>
      </c>
    </row>
    <row r="127" spans="1:3" ht="17" customHeight="1" x14ac:dyDescent="0.3">
      <c r="A127" s="53" t="s">
        <v>75</v>
      </c>
      <c r="B127" s="53" t="s">
        <v>972</v>
      </c>
      <c r="C127" s="53" t="s">
        <v>545</v>
      </c>
    </row>
    <row r="128" spans="1:3" ht="17" customHeight="1" x14ac:dyDescent="0.3">
      <c r="A128" s="53" t="s">
        <v>75</v>
      </c>
      <c r="B128" s="53" t="s">
        <v>972</v>
      </c>
      <c r="C128" s="53" t="s">
        <v>535</v>
      </c>
    </row>
    <row r="129" spans="1:3" ht="17" customHeight="1" x14ac:dyDescent="0.3">
      <c r="A129" s="53" t="s">
        <v>75</v>
      </c>
      <c r="B129" s="53" t="s">
        <v>972</v>
      </c>
      <c r="C129" s="53" t="s">
        <v>534</v>
      </c>
    </row>
    <row r="130" spans="1:3" ht="17" customHeight="1" x14ac:dyDescent="0.3">
      <c r="A130" s="53" t="s">
        <v>75</v>
      </c>
      <c r="B130" s="53" t="s">
        <v>972</v>
      </c>
      <c r="C130" s="53" t="s">
        <v>536</v>
      </c>
    </row>
    <row r="131" spans="1:3" ht="17" customHeight="1" x14ac:dyDescent="0.3">
      <c r="A131" s="53" t="s">
        <v>75</v>
      </c>
      <c r="B131" s="53" t="s">
        <v>972</v>
      </c>
      <c r="C131" s="53" t="s">
        <v>517</v>
      </c>
    </row>
    <row r="132" spans="1:3" ht="17" customHeight="1" x14ac:dyDescent="0.3">
      <c r="A132" s="53" t="s">
        <v>75</v>
      </c>
      <c r="B132" s="53" t="s">
        <v>972</v>
      </c>
      <c r="C132" s="53" t="s">
        <v>519</v>
      </c>
    </row>
    <row r="133" spans="1:3" ht="17" customHeight="1" x14ac:dyDescent="0.3">
      <c r="A133" s="53" t="s">
        <v>75</v>
      </c>
      <c r="B133" s="53" t="s">
        <v>972</v>
      </c>
      <c r="C133" s="53" t="s">
        <v>523</v>
      </c>
    </row>
    <row r="134" spans="1:3" ht="17" customHeight="1" x14ac:dyDescent="0.3">
      <c r="A134" s="53" t="s">
        <v>973</v>
      </c>
      <c r="B134" s="53" t="s">
        <v>973</v>
      </c>
      <c r="C134" s="53" t="s">
        <v>974</v>
      </c>
    </row>
    <row r="135" spans="1:3" ht="17" customHeight="1" x14ac:dyDescent="0.3">
      <c r="A135" s="53" t="s">
        <v>973</v>
      </c>
      <c r="B135" s="53" t="s">
        <v>975</v>
      </c>
      <c r="C135" s="53" t="s">
        <v>976</v>
      </c>
    </row>
    <row r="136" spans="1:3" ht="17" customHeight="1" x14ac:dyDescent="0.3">
      <c r="A136" s="53" t="s">
        <v>973</v>
      </c>
      <c r="B136" s="53" t="s">
        <v>975</v>
      </c>
      <c r="C136" s="53" t="s">
        <v>977</v>
      </c>
    </row>
    <row r="137" spans="1:3" ht="17" customHeight="1" x14ac:dyDescent="0.3">
      <c r="A137" s="53" t="s">
        <v>973</v>
      </c>
      <c r="B137" s="53" t="s">
        <v>973</v>
      </c>
      <c r="C137" s="53" t="s">
        <v>978</v>
      </c>
    </row>
    <row r="138" spans="1:3" ht="17" customHeight="1" x14ac:dyDescent="0.3">
      <c r="A138" s="53" t="s">
        <v>973</v>
      </c>
      <c r="B138" s="53" t="s">
        <v>979</v>
      </c>
      <c r="C138" s="53" t="s">
        <v>980</v>
      </c>
    </row>
    <row r="139" spans="1:3" ht="17" customHeight="1" x14ac:dyDescent="0.3">
      <c r="A139" s="53" t="s">
        <v>973</v>
      </c>
      <c r="B139" s="53" t="s">
        <v>979</v>
      </c>
      <c r="C139" s="53" t="s">
        <v>981</v>
      </c>
    </row>
    <row r="140" spans="1:3" ht="17" customHeight="1" x14ac:dyDescent="0.3">
      <c r="A140" s="53" t="s">
        <v>973</v>
      </c>
      <c r="B140" s="53" t="s">
        <v>979</v>
      </c>
      <c r="C140" s="53" t="s">
        <v>982</v>
      </c>
    </row>
    <row r="141" spans="1:3" ht="17" customHeight="1" x14ac:dyDescent="0.3">
      <c r="A141" s="53" t="s">
        <v>973</v>
      </c>
      <c r="B141" s="53" t="s">
        <v>979</v>
      </c>
      <c r="C141" s="53" t="s">
        <v>983</v>
      </c>
    </row>
    <row r="142" spans="1:3" ht="17" customHeight="1" x14ac:dyDescent="0.3">
      <c r="A142" s="53" t="s">
        <v>973</v>
      </c>
      <c r="B142" s="53" t="s">
        <v>979</v>
      </c>
      <c r="C142" s="53" t="s">
        <v>984</v>
      </c>
    </row>
    <row r="143" spans="1:3" ht="17" customHeight="1" x14ac:dyDescent="0.3">
      <c r="A143" s="53" t="s">
        <v>973</v>
      </c>
      <c r="B143" s="53" t="s">
        <v>979</v>
      </c>
      <c r="C143" s="53" t="s">
        <v>985</v>
      </c>
    </row>
    <row r="144" spans="1:3" ht="17" customHeight="1" x14ac:dyDescent="0.3">
      <c r="A144" s="53" t="s">
        <v>973</v>
      </c>
      <c r="B144" s="53" t="s">
        <v>986</v>
      </c>
      <c r="C144" s="53" t="s">
        <v>987</v>
      </c>
    </row>
    <row r="145" spans="1:3" ht="17" customHeight="1" x14ac:dyDescent="0.3">
      <c r="A145" s="53" t="s">
        <v>973</v>
      </c>
      <c r="B145" s="53" t="s">
        <v>986</v>
      </c>
      <c r="C145" s="53" t="s">
        <v>988</v>
      </c>
    </row>
    <row r="146" spans="1:3" ht="17" customHeight="1" x14ac:dyDescent="0.3">
      <c r="A146" s="53" t="s">
        <v>973</v>
      </c>
      <c r="B146" s="53" t="s">
        <v>986</v>
      </c>
      <c r="C146" s="53" t="s">
        <v>989</v>
      </c>
    </row>
    <row r="147" spans="1:3" ht="17" customHeight="1" x14ac:dyDescent="0.3">
      <c r="A147" s="53" t="s">
        <v>973</v>
      </c>
      <c r="B147" s="53" t="s">
        <v>986</v>
      </c>
      <c r="C147" s="53" t="s">
        <v>990</v>
      </c>
    </row>
    <row r="148" spans="1:3" ht="17" customHeight="1" x14ac:dyDescent="0.3">
      <c r="A148" s="53" t="s">
        <v>973</v>
      </c>
      <c r="B148" s="53" t="s">
        <v>986</v>
      </c>
      <c r="C148" s="53" t="s">
        <v>991</v>
      </c>
    </row>
    <row r="149" spans="1:3" ht="17" customHeight="1" x14ac:dyDescent="0.3">
      <c r="A149" s="53" t="s">
        <v>973</v>
      </c>
      <c r="B149" s="53" t="s">
        <v>986</v>
      </c>
      <c r="C149" s="53" t="s">
        <v>992</v>
      </c>
    </row>
    <row r="150" spans="1:3" ht="17" customHeight="1" x14ac:dyDescent="0.3">
      <c r="A150" s="53" t="s">
        <v>239</v>
      </c>
      <c r="B150" s="53" t="s">
        <v>993</v>
      </c>
      <c r="C150" s="53" t="s">
        <v>716</v>
      </c>
    </row>
    <row r="151" spans="1:3" ht="17" customHeight="1" x14ac:dyDescent="0.3">
      <c r="A151" s="53" t="s">
        <v>239</v>
      </c>
      <c r="B151" s="53" t="s">
        <v>993</v>
      </c>
      <c r="C151" s="53" t="s">
        <v>721</v>
      </c>
    </row>
    <row r="152" spans="1:3" ht="17" customHeight="1" x14ac:dyDescent="0.3">
      <c r="A152" s="53" t="s">
        <v>239</v>
      </c>
      <c r="B152" s="53" t="s">
        <v>993</v>
      </c>
      <c r="C152" s="53" t="s">
        <v>724</v>
      </c>
    </row>
    <row r="153" spans="1:3" ht="17" customHeight="1" x14ac:dyDescent="0.3">
      <c r="A153" s="53" t="s">
        <v>239</v>
      </c>
      <c r="B153" s="53" t="s">
        <v>993</v>
      </c>
      <c r="C153" s="53" t="s">
        <v>718</v>
      </c>
    </row>
    <row r="154" spans="1:3" ht="17" customHeight="1" x14ac:dyDescent="0.3">
      <c r="A154" s="53" t="s">
        <v>239</v>
      </c>
      <c r="B154" s="53" t="s">
        <v>994</v>
      </c>
      <c r="C154" s="53" t="s">
        <v>665</v>
      </c>
    </row>
    <row r="155" spans="1:3" ht="17" customHeight="1" x14ac:dyDescent="0.3">
      <c r="A155" s="53" t="s">
        <v>239</v>
      </c>
      <c r="B155" s="53" t="s">
        <v>994</v>
      </c>
      <c r="C155" s="53" t="s">
        <v>666</v>
      </c>
    </row>
    <row r="156" spans="1:3" ht="17" customHeight="1" x14ac:dyDescent="0.3">
      <c r="A156" s="53" t="s">
        <v>239</v>
      </c>
      <c r="B156" s="53" t="s">
        <v>994</v>
      </c>
      <c r="C156" s="53" t="s">
        <v>667</v>
      </c>
    </row>
    <row r="157" spans="1:3" ht="17" customHeight="1" x14ac:dyDescent="0.3">
      <c r="A157" s="53" t="s">
        <v>239</v>
      </c>
      <c r="B157" s="53" t="s">
        <v>994</v>
      </c>
      <c r="C157" s="53" t="s">
        <v>669</v>
      </c>
    </row>
    <row r="158" spans="1:3" ht="17" customHeight="1" x14ac:dyDescent="0.3">
      <c r="A158" s="53" t="s">
        <v>239</v>
      </c>
      <c r="B158" s="53" t="s">
        <v>994</v>
      </c>
      <c r="C158" s="53" t="s">
        <v>663</v>
      </c>
    </row>
    <row r="159" spans="1:3" ht="17" customHeight="1" x14ac:dyDescent="0.3">
      <c r="A159" s="53" t="s">
        <v>239</v>
      </c>
      <c r="B159" s="53" t="s">
        <v>994</v>
      </c>
      <c r="C159" s="53" t="s">
        <v>659</v>
      </c>
    </row>
    <row r="160" spans="1:3" ht="17" customHeight="1" x14ac:dyDescent="0.3">
      <c r="A160" s="53" t="s">
        <v>239</v>
      </c>
      <c r="B160" s="53" t="s">
        <v>994</v>
      </c>
      <c r="C160" s="53" t="s">
        <v>660</v>
      </c>
    </row>
    <row r="161" spans="1:3" ht="17" customHeight="1" x14ac:dyDescent="0.3">
      <c r="A161" s="53" t="s">
        <v>239</v>
      </c>
      <c r="B161" s="53" t="s">
        <v>994</v>
      </c>
      <c r="C161" s="53" t="s">
        <v>662</v>
      </c>
    </row>
    <row r="162" spans="1:3" ht="17" customHeight="1" x14ac:dyDescent="0.3">
      <c r="A162" s="53" t="s">
        <v>239</v>
      </c>
      <c r="B162" s="53" t="s">
        <v>994</v>
      </c>
      <c r="C162" s="53" t="s">
        <v>671</v>
      </c>
    </row>
    <row r="163" spans="1:3" ht="17" customHeight="1" x14ac:dyDescent="0.3">
      <c r="A163" s="53" t="s">
        <v>239</v>
      </c>
      <c r="B163" s="53" t="s">
        <v>725</v>
      </c>
      <c r="C163" s="53" t="s">
        <v>725</v>
      </c>
    </row>
    <row r="164" spans="1:3" ht="17" customHeight="1" x14ac:dyDescent="0.3">
      <c r="A164" s="53" t="s">
        <v>239</v>
      </c>
      <c r="B164" s="53" t="s">
        <v>725</v>
      </c>
      <c r="C164" s="53" t="s">
        <v>727</v>
      </c>
    </row>
    <row r="165" spans="1:3" ht="17" customHeight="1" x14ac:dyDescent="0.3">
      <c r="A165" s="53" t="s">
        <v>239</v>
      </c>
      <c r="B165" s="53" t="s">
        <v>995</v>
      </c>
      <c r="C165" s="53" t="s">
        <v>728</v>
      </c>
    </row>
    <row r="166" spans="1:3" ht="17" customHeight="1" x14ac:dyDescent="0.3">
      <c r="A166" s="53" t="s">
        <v>239</v>
      </c>
      <c r="B166" s="53" t="s">
        <v>995</v>
      </c>
      <c r="C166" s="53" t="s">
        <v>729</v>
      </c>
    </row>
    <row r="167" spans="1:3" ht="17" customHeight="1" x14ac:dyDescent="0.3">
      <c r="A167" s="53" t="s">
        <v>239</v>
      </c>
      <c r="B167" s="53" t="s">
        <v>995</v>
      </c>
      <c r="C167" s="53" t="s">
        <v>731</v>
      </c>
    </row>
    <row r="168" spans="1:3" ht="17" customHeight="1" x14ac:dyDescent="0.3">
      <c r="A168" s="53" t="s">
        <v>239</v>
      </c>
      <c r="B168" s="53" t="s">
        <v>995</v>
      </c>
      <c r="C168" s="53" t="s">
        <v>732</v>
      </c>
    </row>
    <row r="169" spans="1:3" ht="17" customHeight="1" x14ac:dyDescent="0.3">
      <c r="A169" s="53" t="s">
        <v>239</v>
      </c>
      <c r="B169" s="53" t="s">
        <v>995</v>
      </c>
      <c r="C169" s="53" t="s">
        <v>733</v>
      </c>
    </row>
    <row r="170" spans="1:3" ht="17" customHeight="1" x14ac:dyDescent="0.3">
      <c r="A170" s="53" t="s">
        <v>996</v>
      </c>
      <c r="B170" s="53" t="s">
        <v>997</v>
      </c>
      <c r="C170" s="53" t="s">
        <v>998</v>
      </c>
    </row>
    <row r="171" spans="1:3" ht="17" customHeight="1" x14ac:dyDescent="0.3">
      <c r="A171" s="53" t="s">
        <v>996</v>
      </c>
      <c r="B171" s="53" t="s">
        <v>997</v>
      </c>
      <c r="C171" s="53" t="s">
        <v>999</v>
      </c>
    </row>
    <row r="172" spans="1:3" ht="17" customHeight="1" x14ac:dyDescent="0.3">
      <c r="A172" s="53" t="s">
        <v>996</v>
      </c>
      <c r="B172" s="53" t="s">
        <v>997</v>
      </c>
      <c r="C172" s="53" t="s">
        <v>1000</v>
      </c>
    </row>
    <row r="173" spans="1:3" ht="17" customHeight="1" x14ac:dyDescent="0.3">
      <c r="A173" s="53" t="s">
        <v>996</v>
      </c>
      <c r="B173" s="53" t="s">
        <v>997</v>
      </c>
      <c r="C173" s="53" t="s">
        <v>1001</v>
      </c>
    </row>
    <row r="174" spans="1:3" ht="17" customHeight="1" x14ac:dyDescent="0.3">
      <c r="A174" s="53" t="s">
        <v>996</v>
      </c>
      <c r="B174" s="53" t="s">
        <v>997</v>
      </c>
      <c r="C174" s="53" t="s">
        <v>853</v>
      </c>
    </row>
    <row r="175" spans="1:3" ht="17" customHeight="1" x14ac:dyDescent="0.3">
      <c r="A175" s="53" t="s">
        <v>996</v>
      </c>
      <c r="B175" s="53" t="s">
        <v>997</v>
      </c>
      <c r="C175" s="53" t="s">
        <v>854</v>
      </c>
    </row>
    <row r="176" spans="1:3" ht="17" customHeight="1" x14ac:dyDescent="0.3">
      <c r="A176" s="53" t="s">
        <v>996</v>
      </c>
      <c r="B176" s="53" t="s">
        <v>1002</v>
      </c>
      <c r="C176" s="53" t="s">
        <v>868</v>
      </c>
    </row>
    <row r="177" spans="1:3" ht="17" customHeight="1" x14ac:dyDescent="0.3">
      <c r="A177" s="53" t="s">
        <v>996</v>
      </c>
      <c r="B177" s="53" t="s">
        <v>1002</v>
      </c>
      <c r="C177" s="53" t="s">
        <v>866</v>
      </c>
    </row>
    <row r="178" spans="1:3" ht="17" customHeight="1" x14ac:dyDescent="0.3">
      <c r="A178" s="53" t="s">
        <v>996</v>
      </c>
      <c r="B178" s="53" t="s">
        <v>1002</v>
      </c>
      <c r="C178" s="53" t="s">
        <v>1003</v>
      </c>
    </row>
    <row r="179" spans="1:3" ht="17" customHeight="1" x14ac:dyDescent="0.3">
      <c r="A179" s="53" t="s">
        <v>996</v>
      </c>
      <c r="B179" s="53" t="s">
        <v>1002</v>
      </c>
      <c r="C179" s="53" t="s">
        <v>849</v>
      </c>
    </row>
    <row r="180" spans="1:3" ht="17" customHeight="1" x14ac:dyDescent="0.3">
      <c r="A180" s="53" t="s">
        <v>996</v>
      </c>
      <c r="B180" s="53" t="s">
        <v>1002</v>
      </c>
      <c r="C180" s="53" t="s">
        <v>850</v>
      </c>
    </row>
    <row r="181" spans="1:3" ht="17" customHeight="1" x14ac:dyDescent="0.3">
      <c r="A181" s="53" t="s">
        <v>996</v>
      </c>
      <c r="B181" s="53" t="s">
        <v>1004</v>
      </c>
      <c r="C181" s="53" t="s">
        <v>859</v>
      </c>
    </row>
    <row r="182" spans="1:3" ht="17" customHeight="1" x14ac:dyDescent="0.3">
      <c r="A182" s="53" t="s">
        <v>996</v>
      </c>
      <c r="B182" s="53" t="s">
        <v>1004</v>
      </c>
      <c r="C182" s="53" t="s">
        <v>861</v>
      </c>
    </row>
    <row r="183" spans="1:3" ht="17" customHeight="1" x14ac:dyDescent="0.3">
      <c r="A183" s="53" t="s">
        <v>996</v>
      </c>
      <c r="B183" s="53" t="s">
        <v>1005</v>
      </c>
      <c r="C183" s="53" t="s">
        <v>863</v>
      </c>
    </row>
    <row r="184" spans="1:3" ht="17" customHeight="1" x14ac:dyDescent="0.3">
      <c r="A184" s="53" t="s">
        <v>996</v>
      </c>
      <c r="B184" s="53" t="s">
        <v>1005</v>
      </c>
      <c r="C184" s="53" t="s">
        <v>872</v>
      </c>
    </row>
    <row r="185" spans="1:3" ht="17" customHeight="1" x14ac:dyDescent="0.3">
      <c r="A185" s="53" t="s">
        <v>996</v>
      </c>
      <c r="B185" s="53" t="s">
        <v>1006</v>
      </c>
      <c r="C185" s="53" t="s">
        <v>857</v>
      </c>
    </row>
    <row r="186" spans="1:3" ht="17" customHeight="1" x14ac:dyDescent="0.3">
      <c r="A186" s="53" t="s">
        <v>996</v>
      </c>
      <c r="B186" s="53" t="s">
        <v>1006</v>
      </c>
      <c r="C186" s="53" t="s">
        <v>1007</v>
      </c>
    </row>
    <row r="187" spans="1:3" ht="17" customHeight="1" x14ac:dyDescent="0.3">
      <c r="A187" s="53" t="s">
        <v>996</v>
      </c>
      <c r="B187" s="53" t="s">
        <v>1008</v>
      </c>
      <c r="C187" s="53" t="s">
        <v>875</v>
      </c>
    </row>
    <row r="188" spans="1:3" ht="17" customHeight="1" x14ac:dyDescent="0.3">
      <c r="A188" s="53" t="s">
        <v>996</v>
      </c>
      <c r="B188" s="53" t="s">
        <v>1008</v>
      </c>
      <c r="C188" s="53" t="s">
        <v>880</v>
      </c>
    </row>
    <row r="189" spans="1:3" ht="17" customHeight="1" x14ac:dyDescent="0.3">
      <c r="A189" s="53" t="s">
        <v>996</v>
      </c>
      <c r="B189" s="53" t="s">
        <v>1008</v>
      </c>
      <c r="C189" s="53" t="s">
        <v>887</v>
      </c>
    </row>
    <row r="190" spans="1:3" ht="17" customHeight="1" x14ac:dyDescent="0.3">
      <c r="A190" s="53" t="s">
        <v>996</v>
      </c>
      <c r="B190" s="53" t="s">
        <v>1008</v>
      </c>
      <c r="C190" s="53" t="s">
        <v>874</v>
      </c>
    </row>
    <row r="191" spans="1:3" ht="17" customHeight="1" x14ac:dyDescent="0.3">
      <c r="A191" s="53" t="s">
        <v>996</v>
      </c>
      <c r="B191" s="53" t="s">
        <v>1008</v>
      </c>
      <c r="C191" s="53" t="s">
        <v>870</v>
      </c>
    </row>
    <row r="192" spans="1:3" ht="17" customHeight="1" x14ac:dyDescent="0.3">
      <c r="A192" s="53" t="s">
        <v>376</v>
      </c>
      <c r="B192" s="53" t="s">
        <v>376</v>
      </c>
      <c r="C192" s="53" t="s">
        <v>896</v>
      </c>
    </row>
    <row r="193" spans="1:3" ht="17" customHeight="1" x14ac:dyDescent="0.3">
      <c r="A193" s="53" t="s">
        <v>376</v>
      </c>
      <c r="B193" s="53" t="s">
        <v>376</v>
      </c>
      <c r="C193" s="53" t="s">
        <v>891</v>
      </c>
    </row>
    <row r="194" spans="1:3" ht="17" customHeight="1" x14ac:dyDescent="0.3">
      <c r="A194" s="53" t="s">
        <v>376</v>
      </c>
      <c r="B194" s="53" t="s">
        <v>376</v>
      </c>
      <c r="C194" s="53" t="s">
        <v>900</v>
      </c>
    </row>
    <row r="195" spans="1:3" ht="17" customHeight="1" x14ac:dyDescent="0.3">
      <c r="A195" s="53" t="s">
        <v>376</v>
      </c>
      <c r="B195" s="53" t="s">
        <v>376</v>
      </c>
      <c r="C195" s="53" t="s">
        <v>898</v>
      </c>
    </row>
    <row r="196" spans="1:3" ht="17" customHeight="1" x14ac:dyDescent="0.3">
      <c r="A196" s="53" t="s">
        <v>376</v>
      </c>
      <c r="B196" s="53" t="s">
        <v>376</v>
      </c>
      <c r="C196" s="53" t="s">
        <v>915</v>
      </c>
    </row>
    <row r="197" spans="1:3" ht="17" customHeight="1" x14ac:dyDescent="0.3">
      <c r="A197" s="53" t="s">
        <v>376</v>
      </c>
      <c r="B197" s="53" t="s">
        <v>376</v>
      </c>
      <c r="C197" s="53" t="s">
        <v>894</v>
      </c>
    </row>
    <row r="198" spans="1:3" ht="17" customHeight="1" x14ac:dyDescent="0.3">
      <c r="A198" s="53" t="s">
        <v>376</v>
      </c>
      <c r="B198" s="53" t="s">
        <v>376</v>
      </c>
      <c r="C198" s="53" t="s">
        <v>927</v>
      </c>
    </row>
    <row r="199" spans="1:3" ht="17" customHeight="1" x14ac:dyDescent="0.3">
      <c r="A199" s="53" t="s">
        <v>376</v>
      </c>
      <c r="B199" s="53" t="s">
        <v>376</v>
      </c>
      <c r="C199" s="53" t="s">
        <v>893</v>
      </c>
    </row>
    <row r="200" spans="1:3" ht="17" customHeight="1" x14ac:dyDescent="0.3">
      <c r="A200" s="53" t="s">
        <v>376</v>
      </c>
      <c r="B200" s="53" t="s">
        <v>376</v>
      </c>
      <c r="C200" s="53" t="s">
        <v>922</v>
      </c>
    </row>
    <row r="201" spans="1:3" ht="17" customHeight="1" x14ac:dyDescent="0.3">
      <c r="A201" s="53" t="s">
        <v>376</v>
      </c>
      <c r="B201" s="53" t="s">
        <v>376</v>
      </c>
      <c r="C201" s="53" t="s">
        <v>919</v>
      </c>
    </row>
    <row r="202" spans="1:3" ht="17" customHeight="1" x14ac:dyDescent="0.3">
      <c r="A202" s="53" t="s">
        <v>376</v>
      </c>
      <c r="B202" s="53" t="s">
        <v>1009</v>
      </c>
      <c r="C202" s="53" t="s">
        <v>905</v>
      </c>
    </row>
    <row r="203" spans="1:3" ht="17" customHeight="1" x14ac:dyDescent="0.3">
      <c r="A203" s="53" t="s">
        <v>376</v>
      </c>
      <c r="B203" s="53" t="s">
        <v>1009</v>
      </c>
      <c r="C203" s="53" t="s">
        <v>910</v>
      </c>
    </row>
    <row r="204" spans="1:3" ht="17" customHeight="1" x14ac:dyDescent="0.3">
      <c r="A204" s="53" t="s">
        <v>376</v>
      </c>
      <c r="B204" s="53" t="s">
        <v>1009</v>
      </c>
      <c r="C204" s="53" t="s">
        <v>913</v>
      </c>
    </row>
    <row r="205" spans="1:3" ht="17" customHeight="1" x14ac:dyDescent="0.3">
      <c r="A205" s="53" t="s">
        <v>376</v>
      </c>
      <c r="B205" s="53" t="s">
        <v>1009</v>
      </c>
      <c r="C205" s="53" t="s">
        <v>912</v>
      </c>
    </row>
    <row r="206" spans="1:3" ht="17" customHeight="1" x14ac:dyDescent="0.3">
      <c r="A206" s="53" t="s">
        <v>376</v>
      </c>
      <c r="B206" s="53" t="s">
        <v>1009</v>
      </c>
      <c r="C206" s="53" t="s">
        <v>908</v>
      </c>
    </row>
    <row r="207" spans="1:3" ht="17" customHeight="1" x14ac:dyDescent="0.3">
      <c r="A207" s="53" t="s">
        <v>1008</v>
      </c>
      <c r="B207" s="53" t="s">
        <v>161</v>
      </c>
      <c r="C207" s="53" t="s">
        <v>699</v>
      </c>
    </row>
    <row r="208" spans="1:3" ht="17" customHeight="1" x14ac:dyDescent="0.3">
      <c r="A208" s="53" t="s">
        <v>1008</v>
      </c>
      <c r="B208" s="53" t="s">
        <v>161</v>
      </c>
      <c r="C208" s="53" t="s">
        <v>700</v>
      </c>
    </row>
    <row r="209" spans="1:3" ht="17" customHeight="1" x14ac:dyDescent="0.3">
      <c r="A209" s="53" t="s">
        <v>1008</v>
      </c>
      <c r="B209" s="53" t="s">
        <v>161</v>
      </c>
      <c r="C209" s="53" t="s">
        <v>702</v>
      </c>
    </row>
    <row r="210" spans="1:3" ht="17" customHeight="1" x14ac:dyDescent="0.3">
      <c r="A210" s="53" t="s">
        <v>1008</v>
      </c>
      <c r="B210" s="53" t="s">
        <v>161</v>
      </c>
      <c r="C210" s="53" t="s">
        <v>703</v>
      </c>
    </row>
    <row r="211" spans="1:3" ht="17" customHeight="1" x14ac:dyDescent="0.3">
      <c r="A211" s="53" t="s">
        <v>1008</v>
      </c>
      <c r="B211" s="53" t="s">
        <v>75</v>
      </c>
      <c r="C211" s="53" t="s">
        <v>551</v>
      </c>
    </row>
    <row r="212" spans="1:3" ht="17" customHeight="1" x14ac:dyDescent="0.3">
      <c r="A212" s="53" t="s">
        <v>1008</v>
      </c>
      <c r="B212" s="53" t="s">
        <v>75</v>
      </c>
      <c r="C212" s="53" t="s">
        <v>549</v>
      </c>
    </row>
    <row r="213" spans="1:3" ht="17" customHeight="1" x14ac:dyDescent="0.3">
      <c r="A213" s="53" t="s">
        <v>1008</v>
      </c>
      <c r="B213" s="53" t="s">
        <v>161</v>
      </c>
      <c r="C213" s="53" t="s">
        <v>597</v>
      </c>
    </row>
    <row r="214" spans="1:3" ht="17" customHeight="1" x14ac:dyDescent="0.3">
      <c r="A214" s="53" t="s">
        <v>1008</v>
      </c>
      <c r="B214" s="53" t="s">
        <v>161</v>
      </c>
      <c r="C214" s="53" t="s">
        <v>707</v>
      </c>
    </row>
    <row r="215" spans="1:3" ht="17" customHeight="1" x14ac:dyDescent="0.3">
      <c r="A215" s="53" t="s">
        <v>1008</v>
      </c>
      <c r="B215" s="53" t="s">
        <v>161</v>
      </c>
      <c r="C215" s="53" t="s">
        <v>698</v>
      </c>
    </row>
    <row r="216" spans="1:3" ht="17" customHeight="1" x14ac:dyDescent="0.3">
      <c r="A216" s="53" t="s">
        <v>1008</v>
      </c>
      <c r="B216" s="53" t="s">
        <v>1010</v>
      </c>
      <c r="C216" s="53" t="s">
        <v>574</v>
      </c>
    </row>
    <row r="217" spans="1:3" ht="17" customHeight="1" x14ac:dyDescent="0.3">
      <c r="A217" s="53" t="s">
        <v>1008</v>
      </c>
      <c r="B217" s="53" t="s">
        <v>1010</v>
      </c>
      <c r="C217" s="53" t="s">
        <v>576</v>
      </c>
    </row>
    <row r="218" spans="1:3" ht="17" customHeight="1" x14ac:dyDescent="0.3">
      <c r="A218" s="53" t="s">
        <v>1008</v>
      </c>
      <c r="B218" s="53" t="s">
        <v>118</v>
      </c>
      <c r="C218" s="53" t="s">
        <v>577</v>
      </c>
    </row>
    <row r="219" spans="1:3" ht="17" customHeight="1" x14ac:dyDescent="0.3">
      <c r="A219" s="53" t="s">
        <v>1008</v>
      </c>
      <c r="B219" s="53" t="s">
        <v>118</v>
      </c>
      <c r="C219" s="53" t="s">
        <v>558</v>
      </c>
    </row>
    <row r="220" spans="1:3" ht="17" customHeight="1" x14ac:dyDescent="0.3">
      <c r="A220" s="53" t="s">
        <v>1008</v>
      </c>
      <c r="B220" s="53" t="s">
        <v>118</v>
      </c>
      <c r="C220" s="53" t="s">
        <v>569</v>
      </c>
    </row>
    <row r="221" spans="1:3" ht="17" customHeight="1" x14ac:dyDescent="0.3">
      <c r="A221" s="53" t="s">
        <v>1008</v>
      </c>
      <c r="B221" s="53" t="s">
        <v>118</v>
      </c>
      <c r="C221" s="53" t="s">
        <v>572</v>
      </c>
    </row>
    <row r="222" spans="1:3" ht="17" customHeight="1" x14ac:dyDescent="0.3">
      <c r="A222" s="53" t="s">
        <v>1008</v>
      </c>
      <c r="B222" s="53" t="s">
        <v>1011</v>
      </c>
      <c r="C222" s="53" t="s">
        <v>715</v>
      </c>
    </row>
    <row r="223" spans="1:3" ht="17" customHeight="1" x14ac:dyDescent="0.3">
      <c r="A223" s="53" t="s">
        <v>1008</v>
      </c>
      <c r="B223" s="53" t="s">
        <v>1011</v>
      </c>
      <c r="C223" s="53" t="s">
        <v>713</v>
      </c>
    </row>
    <row r="224" spans="1:3" ht="17" customHeight="1" x14ac:dyDescent="0.3">
      <c r="A224" s="53" t="s">
        <v>1008</v>
      </c>
      <c r="B224" s="53" t="s">
        <v>1011</v>
      </c>
      <c r="C224" s="53" t="s">
        <v>711</v>
      </c>
    </row>
    <row r="225" spans="1:3" ht="17" customHeight="1" x14ac:dyDescent="0.3">
      <c r="A225" s="53" t="s">
        <v>1008</v>
      </c>
      <c r="B225" s="53" t="s">
        <v>1012</v>
      </c>
      <c r="C225" s="53" t="s">
        <v>695</v>
      </c>
    </row>
    <row r="226" spans="1:3" ht="17" customHeight="1" x14ac:dyDescent="0.3">
      <c r="A226" s="53" t="s">
        <v>1008</v>
      </c>
      <c r="B226" s="53" t="s">
        <v>1012</v>
      </c>
      <c r="C226" s="53" t="s">
        <v>696</v>
      </c>
    </row>
    <row r="227" spans="1:3" ht="17" customHeight="1" x14ac:dyDescent="0.3">
      <c r="A227" s="53" t="s">
        <v>1008</v>
      </c>
      <c r="B227" s="53" t="s">
        <v>996</v>
      </c>
      <c r="C227" s="53" t="s">
        <v>883</v>
      </c>
    </row>
    <row r="228" spans="1:3" ht="17" customHeight="1" x14ac:dyDescent="0.3">
      <c r="A228" s="53" t="s">
        <v>1008</v>
      </c>
      <c r="B228" s="53" t="s">
        <v>996</v>
      </c>
      <c r="C228" s="53" t="s">
        <v>885</v>
      </c>
    </row>
    <row r="229" spans="1:3" ht="17" customHeight="1" x14ac:dyDescent="0.3">
      <c r="A229" s="53" t="s">
        <v>1008</v>
      </c>
      <c r="B229" s="53" t="s">
        <v>996</v>
      </c>
      <c r="C229" s="53" t="s">
        <v>884</v>
      </c>
    </row>
    <row r="230" spans="1:3" ht="17" customHeight="1" x14ac:dyDescent="0.3">
      <c r="A230" s="53" t="s">
        <v>1008</v>
      </c>
      <c r="B230" s="53" t="s">
        <v>996</v>
      </c>
      <c r="C230" s="53" t="s">
        <v>878</v>
      </c>
    </row>
    <row r="231" spans="1:3" ht="17" customHeight="1" x14ac:dyDescent="0.3">
      <c r="A231" s="53" t="s">
        <v>1008</v>
      </c>
      <c r="B231" s="53" t="s">
        <v>996</v>
      </c>
      <c r="C231" s="53" t="s">
        <v>882</v>
      </c>
    </row>
    <row r="232" spans="1:3" ht="17" customHeight="1" x14ac:dyDescent="0.3">
      <c r="A232" s="53" t="s">
        <v>1008</v>
      </c>
      <c r="B232" s="53" t="s">
        <v>996</v>
      </c>
      <c r="C232" s="53" t="s">
        <v>709</v>
      </c>
    </row>
  </sheetData>
  <phoneticPr fontId="7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CFAA-230D-498D-93F4-986FE1DFC28F}">
  <dimension ref="A1:F359"/>
  <sheetViews>
    <sheetView workbookViewId="0">
      <pane ySplit="1" topLeftCell="A2" activePane="bottomLeft" state="frozen"/>
      <selection pane="bottomLeft"/>
    </sheetView>
  </sheetViews>
  <sheetFormatPr defaultColWidth="14" defaultRowHeight="13" x14ac:dyDescent="0.3"/>
  <cols>
    <col min="1" max="1" width="12" customWidth="1"/>
    <col min="2" max="2" width="13" customWidth="1"/>
    <col min="3" max="3" width="20" customWidth="1"/>
    <col min="4" max="5" width="49" customWidth="1"/>
    <col min="6" max="6" width="57" customWidth="1"/>
    <col min="7" max="20" width="16" customWidth="1"/>
  </cols>
  <sheetData>
    <row r="1" spans="1:6" ht="25" customHeight="1" x14ac:dyDescent="0.3">
      <c r="A1" s="57" t="s">
        <v>1013</v>
      </c>
      <c r="B1" s="57" t="s">
        <v>1014</v>
      </c>
      <c r="C1" s="57" t="s">
        <v>1015</v>
      </c>
      <c r="D1" s="57" t="s">
        <v>1016</v>
      </c>
      <c r="E1" s="57" t="s">
        <v>1017</v>
      </c>
      <c r="F1" s="57" t="s">
        <v>1018</v>
      </c>
    </row>
    <row r="2" spans="1:6" ht="25" customHeight="1" x14ac:dyDescent="0.3">
      <c r="A2" s="29">
        <v>1</v>
      </c>
      <c r="B2" s="77" t="s">
        <v>62</v>
      </c>
      <c r="C2" s="77" t="s">
        <v>62</v>
      </c>
      <c r="D2" s="29" t="s">
        <v>1019</v>
      </c>
      <c r="E2" s="29" t="s">
        <v>1020</v>
      </c>
      <c r="F2" s="14" t="s">
        <v>1021</v>
      </c>
    </row>
    <row r="3" spans="1:6" ht="19" customHeight="1" x14ac:dyDescent="0.3">
      <c r="A3" s="29">
        <v>15</v>
      </c>
      <c r="B3" s="77"/>
      <c r="C3" s="77"/>
      <c r="D3" s="77" t="s">
        <v>1022</v>
      </c>
      <c r="E3" s="29" t="s">
        <v>1020</v>
      </c>
      <c r="F3" s="14" t="s">
        <v>1023</v>
      </c>
    </row>
    <row r="4" spans="1:6" ht="25" customHeight="1" x14ac:dyDescent="0.3">
      <c r="A4" s="29">
        <v>16</v>
      </c>
      <c r="B4" s="77"/>
      <c r="C4" s="77"/>
      <c r="D4" s="77"/>
      <c r="E4" s="29" t="s">
        <v>1020</v>
      </c>
      <c r="F4" s="14" t="s">
        <v>1024</v>
      </c>
    </row>
    <row r="5" spans="1:6" ht="25" customHeight="1" x14ac:dyDescent="0.3">
      <c r="A5" s="29">
        <v>17</v>
      </c>
      <c r="B5" s="77"/>
      <c r="C5" s="77"/>
      <c r="D5" s="77"/>
      <c r="E5" s="29" t="s">
        <v>1020</v>
      </c>
      <c r="F5" s="14" t="s">
        <v>1025</v>
      </c>
    </row>
    <row r="6" spans="1:6" ht="25" customHeight="1" x14ac:dyDescent="0.3">
      <c r="A6" s="29">
        <v>18</v>
      </c>
      <c r="B6" s="77"/>
      <c r="C6" s="77"/>
      <c r="D6" s="77"/>
      <c r="E6" s="29" t="s">
        <v>1020</v>
      </c>
      <c r="F6" s="14" t="s">
        <v>1026</v>
      </c>
    </row>
    <row r="7" spans="1:6" ht="25" customHeight="1" x14ac:dyDescent="0.3">
      <c r="A7" s="29">
        <v>19</v>
      </c>
      <c r="B7" s="77"/>
      <c r="C7" s="77"/>
      <c r="D7" s="77"/>
      <c r="E7" s="29" t="s">
        <v>1020</v>
      </c>
      <c r="F7" s="14" t="s">
        <v>1027</v>
      </c>
    </row>
    <row r="8" spans="1:6" ht="25" customHeight="1" x14ac:dyDescent="0.3">
      <c r="A8" s="29">
        <v>20</v>
      </c>
      <c r="B8" s="77"/>
      <c r="C8" s="77"/>
      <c r="D8" s="77"/>
      <c r="E8" s="29" t="s">
        <v>1020</v>
      </c>
      <c r="F8" s="14" t="s">
        <v>1028</v>
      </c>
    </row>
    <row r="9" spans="1:6" ht="25" customHeight="1" x14ac:dyDescent="0.3">
      <c r="A9" s="29">
        <v>21</v>
      </c>
      <c r="B9" s="77"/>
      <c r="C9" s="77"/>
      <c r="D9" s="77"/>
      <c r="E9" s="29" t="s">
        <v>1020</v>
      </c>
      <c r="F9" s="14" t="s">
        <v>1029</v>
      </c>
    </row>
    <row r="10" spans="1:6" ht="25" customHeight="1" x14ac:dyDescent="0.3">
      <c r="A10" s="29">
        <v>22</v>
      </c>
      <c r="B10" s="77"/>
      <c r="C10" s="77"/>
      <c r="D10" s="77"/>
      <c r="E10" s="29" t="s">
        <v>1020</v>
      </c>
      <c r="F10" s="14" t="s">
        <v>1030</v>
      </c>
    </row>
    <row r="11" spans="1:6" ht="19" customHeight="1" x14ac:dyDescent="0.3">
      <c r="A11" s="29">
        <v>28</v>
      </c>
      <c r="B11" s="77"/>
      <c r="C11" s="77"/>
      <c r="D11" s="29" t="s">
        <v>1031</v>
      </c>
      <c r="E11" s="29" t="s">
        <v>1020</v>
      </c>
      <c r="F11" s="14"/>
    </row>
    <row r="12" spans="1:6" ht="19" customHeight="1" x14ac:dyDescent="0.3">
      <c r="A12" s="29">
        <v>45</v>
      </c>
      <c r="B12" s="77"/>
      <c r="C12" s="77"/>
      <c r="D12" s="29" t="s">
        <v>1032</v>
      </c>
      <c r="E12" s="29" t="s">
        <v>1020</v>
      </c>
      <c r="F12" s="14"/>
    </row>
    <row r="13" spans="1:6" ht="19" customHeight="1" x14ac:dyDescent="0.3">
      <c r="A13" s="29">
        <v>55</v>
      </c>
      <c r="B13" s="77" t="s">
        <v>248</v>
      </c>
      <c r="C13" s="77" t="s">
        <v>48</v>
      </c>
      <c r="D13" s="77" t="s">
        <v>1033</v>
      </c>
      <c r="E13" s="29" t="s">
        <v>1020</v>
      </c>
      <c r="F13" s="14" t="s">
        <v>1034</v>
      </c>
    </row>
    <row r="14" spans="1:6" ht="25" customHeight="1" x14ac:dyDescent="0.3">
      <c r="A14" s="29">
        <v>56</v>
      </c>
      <c r="B14" s="77"/>
      <c r="C14" s="77"/>
      <c r="D14" s="77"/>
      <c r="E14" s="29" t="s">
        <v>1020</v>
      </c>
      <c r="F14" s="14" t="s">
        <v>1035</v>
      </c>
    </row>
    <row r="15" spans="1:6" ht="25" customHeight="1" x14ac:dyDescent="0.3">
      <c r="A15" s="29">
        <v>57</v>
      </c>
      <c r="B15" s="77"/>
      <c r="C15" s="77"/>
      <c r="D15" s="77"/>
      <c r="E15" s="29" t="s">
        <v>1020</v>
      </c>
      <c r="F15" s="14" t="s">
        <v>1036</v>
      </c>
    </row>
    <row r="16" spans="1:6" ht="25" customHeight="1" x14ac:dyDescent="0.3">
      <c r="A16" s="29">
        <v>58</v>
      </c>
      <c r="B16" s="77"/>
      <c r="C16" s="77"/>
      <c r="D16" s="77" t="s">
        <v>1037</v>
      </c>
      <c r="E16" s="29" t="s">
        <v>1020</v>
      </c>
      <c r="F16" s="14" t="s">
        <v>1038</v>
      </c>
    </row>
    <row r="17" spans="1:6" ht="25" customHeight="1" x14ac:dyDescent="0.3">
      <c r="A17" s="29">
        <v>59</v>
      </c>
      <c r="B17" s="77"/>
      <c r="C17" s="77"/>
      <c r="D17" s="77"/>
      <c r="E17" s="29" t="s">
        <v>1020</v>
      </c>
      <c r="F17" s="14" t="s">
        <v>1039</v>
      </c>
    </row>
    <row r="18" spans="1:6" ht="19" customHeight="1" x14ac:dyDescent="0.3">
      <c r="A18" s="29">
        <v>60</v>
      </c>
      <c r="B18" s="77"/>
      <c r="C18" s="77"/>
      <c r="D18" s="77"/>
      <c r="E18" s="29" t="s">
        <v>1020</v>
      </c>
      <c r="F18" s="14" t="s">
        <v>1040</v>
      </c>
    </row>
    <row r="19" spans="1:6" ht="19" customHeight="1" x14ac:dyDescent="0.3">
      <c r="A19" s="29">
        <v>61</v>
      </c>
      <c r="B19" s="77"/>
      <c r="C19" s="77"/>
      <c r="D19" s="29" t="s">
        <v>737</v>
      </c>
      <c r="E19" s="29" t="s">
        <v>737</v>
      </c>
      <c r="F19" s="14" t="s">
        <v>1041</v>
      </c>
    </row>
    <row r="20" spans="1:6" ht="25" customHeight="1" x14ac:dyDescent="0.3">
      <c r="A20" s="29">
        <v>62</v>
      </c>
      <c r="B20" s="77"/>
      <c r="C20" s="77"/>
      <c r="D20" s="55" t="s">
        <v>740</v>
      </c>
      <c r="E20" s="29" t="s">
        <v>740</v>
      </c>
      <c r="F20" s="14" t="s">
        <v>1042</v>
      </c>
    </row>
    <row r="21" spans="1:6" ht="19" customHeight="1" x14ac:dyDescent="0.3">
      <c r="A21" s="29">
        <v>63</v>
      </c>
      <c r="B21" s="77"/>
      <c r="C21" s="77"/>
      <c r="D21" s="55" t="s">
        <v>741</v>
      </c>
      <c r="E21" s="29" t="s">
        <v>741</v>
      </c>
      <c r="F21" s="14" t="s">
        <v>1042</v>
      </c>
    </row>
    <row r="22" spans="1:6" ht="19" customHeight="1" x14ac:dyDescent="0.3">
      <c r="A22" s="29">
        <v>64</v>
      </c>
      <c r="B22" s="77"/>
      <c r="C22" s="77"/>
      <c r="D22" s="55" t="s">
        <v>743</v>
      </c>
      <c r="E22" s="29" t="s">
        <v>743</v>
      </c>
      <c r="F22" s="14" t="s">
        <v>1042</v>
      </c>
    </row>
    <row r="23" spans="1:6" ht="25" customHeight="1" x14ac:dyDescent="0.3">
      <c r="A23" s="29">
        <v>65</v>
      </c>
      <c r="B23" s="77"/>
      <c r="C23" s="77"/>
      <c r="D23" s="78" t="s">
        <v>745</v>
      </c>
      <c r="E23" s="29" t="s">
        <v>745</v>
      </c>
      <c r="F23" s="14" t="s">
        <v>1043</v>
      </c>
    </row>
    <row r="24" spans="1:6" ht="19" customHeight="1" x14ac:dyDescent="0.3">
      <c r="A24" s="29">
        <v>66</v>
      </c>
      <c r="B24" s="77"/>
      <c r="C24" s="77"/>
      <c r="D24" s="78"/>
      <c r="E24" s="29" t="s">
        <v>1020</v>
      </c>
      <c r="F24" s="14" t="s">
        <v>1044</v>
      </c>
    </row>
    <row r="25" spans="1:6" ht="25" customHeight="1" x14ac:dyDescent="0.3">
      <c r="A25" s="29">
        <v>67</v>
      </c>
      <c r="B25" s="77"/>
      <c r="C25" s="77"/>
      <c r="D25" s="78"/>
      <c r="E25" s="29" t="s">
        <v>1020</v>
      </c>
      <c r="F25" s="14" t="s">
        <v>1045</v>
      </c>
    </row>
    <row r="26" spans="1:6" ht="19" customHeight="1" x14ac:dyDescent="0.3">
      <c r="A26" s="29">
        <v>68</v>
      </c>
      <c r="B26" s="77"/>
      <c r="C26" s="77" t="s">
        <v>1046</v>
      </c>
      <c r="D26" s="55" t="s">
        <v>746</v>
      </c>
      <c r="E26" s="29" t="s">
        <v>746</v>
      </c>
      <c r="F26" s="14" t="s">
        <v>1047</v>
      </c>
    </row>
    <row r="27" spans="1:6" ht="19" customHeight="1" x14ac:dyDescent="0.3">
      <c r="A27" s="29">
        <v>69</v>
      </c>
      <c r="B27" s="77"/>
      <c r="C27" s="77"/>
      <c r="D27" s="55" t="s">
        <v>749</v>
      </c>
      <c r="E27" s="29" t="s">
        <v>749</v>
      </c>
      <c r="F27" s="14" t="s">
        <v>1041</v>
      </c>
    </row>
    <row r="28" spans="1:6" ht="19" customHeight="1" x14ac:dyDescent="0.3">
      <c r="A28" s="29">
        <v>70</v>
      </c>
      <c r="B28" s="77"/>
      <c r="C28" s="77"/>
      <c r="D28" s="55" t="s">
        <v>753</v>
      </c>
      <c r="E28" s="29" t="s">
        <v>753</v>
      </c>
      <c r="F28" s="14" t="s">
        <v>1048</v>
      </c>
    </row>
    <row r="29" spans="1:6" ht="19" customHeight="1" x14ac:dyDescent="0.3">
      <c r="A29" s="29">
        <v>71</v>
      </c>
      <c r="B29" s="77"/>
      <c r="C29" s="77"/>
      <c r="D29" s="55" t="s">
        <v>1049</v>
      </c>
      <c r="E29" s="29" t="s">
        <v>1020</v>
      </c>
      <c r="F29" s="14" t="s">
        <v>1050</v>
      </c>
    </row>
    <row r="30" spans="1:6" ht="19" customHeight="1" x14ac:dyDescent="0.3">
      <c r="A30" s="29">
        <v>72</v>
      </c>
      <c r="B30" s="77"/>
      <c r="C30" s="77" t="s">
        <v>955</v>
      </c>
      <c r="D30" s="55" t="s">
        <v>759</v>
      </c>
      <c r="E30" s="29" t="s">
        <v>759</v>
      </c>
      <c r="F30" s="14" t="s">
        <v>1051</v>
      </c>
    </row>
    <row r="31" spans="1:6" ht="19" customHeight="1" x14ac:dyDescent="0.3">
      <c r="A31" s="29">
        <v>73</v>
      </c>
      <c r="B31" s="77"/>
      <c r="C31" s="77"/>
      <c r="D31" s="29" t="s">
        <v>1052</v>
      </c>
      <c r="E31" s="29" t="s">
        <v>1020</v>
      </c>
      <c r="F31" s="14" t="s">
        <v>1053</v>
      </c>
    </row>
    <row r="32" spans="1:6" ht="19" customHeight="1" x14ac:dyDescent="0.3">
      <c r="A32" s="29">
        <v>74</v>
      </c>
      <c r="B32" s="77"/>
      <c r="C32" s="77"/>
      <c r="D32" s="29" t="s">
        <v>761</v>
      </c>
      <c r="E32" s="29" t="s">
        <v>761</v>
      </c>
      <c r="F32" s="14" t="s">
        <v>1054</v>
      </c>
    </row>
    <row r="33" spans="1:6" ht="19" customHeight="1" x14ac:dyDescent="0.3">
      <c r="A33" s="29">
        <v>75</v>
      </c>
      <c r="B33" s="77"/>
      <c r="C33" s="77"/>
      <c r="D33" s="29" t="s">
        <v>1055</v>
      </c>
      <c r="E33" s="29" t="s">
        <v>1020</v>
      </c>
      <c r="F33" s="14" t="s">
        <v>1056</v>
      </c>
    </row>
    <row r="34" spans="1:6" ht="19" customHeight="1" x14ac:dyDescent="0.3">
      <c r="A34" s="29">
        <v>76</v>
      </c>
      <c r="B34" s="77"/>
      <c r="C34" s="77"/>
      <c r="D34" s="29" t="s">
        <v>763</v>
      </c>
      <c r="E34" s="29" t="s">
        <v>763</v>
      </c>
      <c r="F34" s="14" t="s">
        <v>1057</v>
      </c>
    </row>
    <row r="35" spans="1:6" ht="19" customHeight="1" x14ac:dyDescent="0.3">
      <c r="A35" s="29">
        <v>77</v>
      </c>
      <c r="B35" s="77"/>
      <c r="C35" s="77"/>
      <c r="D35" s="29" t="s">
        <v>1058</v>
      </c>
      <c r="E35" s="29" t="s">
        <v>1020</v>
      </c>
      <c r="F35" s="14" t="s">
        <v>1059</v>
      </c>
    </row>
    <row r="36" spans="1:6" ht="19" customHeight="1" x14ac:dyDescent="0.3">
      <c r="A36" s="29">
        <v>78</v>
      </c>
      <c r="B36" s="77"/>
      <c r="C36" s="77"/>
      <c r="D36" s="77" t="s">
        <v>765</v>
      </c>
      <c r="E36" s="29" t="s">
        <v>765</v>
      </c>
      <c r="F36" s="14" t="s">
        <v>1060</v>
      </c>
    </row>
    <row r="37" spans="1:6" ht="25" customHeight="1" x14ac:dyDescent="0.3">
      <c r="A37" s="29">
        <v>79</v>
      </c>
      <c r="B37" s="77"/>
      <c r="C37" s="77"/>
      <c r="D37" s="77"/>
      <c r="E37" s="29" t="s">
        <v>1020</v>
      </c>
      <c r="F37" s="14" t="s">
        <v>1061</v>
      </c>
    </row>
    <row r="38" spans="1:6" ht="19" customHeight="1" x14ac:dyDescent="0.3">
      <c r="A38" s="29">
        <v>80</v>
      </c>
      <c r="B38" s="77"/>
      <c r="C38" s="77"/>
      <c r="D38" s="29" t="s">
        <v>766</v>
      </c>
      <c r="E38" s="29" t="s">
        <v>766</v>
      </c>
      <c r="F38" s="14" t="s">
        <v>1062</v>
      </c>
    </row>
    <row r="39" spans="1:6" ht="19" customHeight="1" x14ac:dyDescent="0.3">
      <c r="A39" s="29">
        <v>81</v>
      </c>
      <c r="B39" s="77"/>
      <c r="C39" s="77"/>
      <c r="D39" s="29" t="s">
        <v>1063</v>
      </c>
      <c r="E39" s="29" t="s">
        <v>1020</v>
      </c>
      <c r="F39" s="14"/>
    </row>
    <row r="40" spans="1:6" ht="19" customHeight="1" x14ac:dyDescent="0.3">
      <c r="A40" s="29">
        <v>82</v>
      </c>
      <c r="B40" s="77"/>
      <c r="C40" s="77" t="s">
        <v>956</v>
      </c>
      <c r="D40" s="78" t="s">
        <v>801</v>
      </c>
      <c r="E40" s="29" t="s">
        <v>801</v>
      </c>
      <c r="F40" s="14" t="s">
        <v>1064</v>
      </c>
    </row>
    <row r="41" spans="1:6" ht="25" customHeight="1" x14ac:dyDescent="0.3">
      <c r="A41" s="29">
        <v>83</v>
      </c>
      <c r="B41" s="77"/>
      <c r="C41" s="77"/>
      <c r="D41" s="78"/>
      <c r="E41" s="29" t="s">
        <v>1020</v>
      </c>
      <c r="F41" s="14" t="s">
        <v>1065</v>
      </c>
    </row>
    <row r="42" spans="1:6" ht="19" customHeight="1" x14ac:dyDescent="0.3">
      <c r="A42" s="29">
        <v>84</v>
      </c>
      <c r="B42" s="77"/>
      <c r="C42" s="77"/>
      <c r="D42" s="55" t="s">
        <v>789</v>
      </c>
      <c r="E42" s="29" t="s">
        <v>789</v>
      </c>
      <c r="F42" s="14" t="s">
        <v>1066</v>
      </c>
    </row>
    <row r="43" spans="1:6" ht="19" customHeight="1" x14ac:dyDescent="0.3">
      <c r="A43" s="29">
        <v>85</v>
      </c>
      <c r="B43" s="77"/>
      <c r="C43" s="77"/>
      <c r="D43" s="55" t="s">
        <v>798</v>
      </c>
      <c r="E43" s="29" t="s">
        <v>798</v>
      </c>
      <c r="F43" s="14" t="s">
        <v>1067</v>
      </c>
    </row>
    <row r="44" spans="1:6" ht="19" customHeight="1" x14ac:dyDescent="0.3">
      <c r="A44" s="29">
        <v>86</v>
      </c>
      <c r="B44" s="77"/>
      <c r="C44" s="77"/>
      <c r="D44" s="55" t="s">
        <v>1068</v>
      </c>
      <c r="E44" s="29" t="s">
        <v>1020</v>
      </c>
      <c r="F44" s="14" t="s">
        <v>1069</v>
      </c>
    </row>
    <row r="45" spans="1:6" ht="19" customHeight="1" x14ac:dyDescent="0.3">
      <c r="A45" s="29">
        <v>87</v>
      </c>
      <c r="B45" s="77"/>
      <c r="C45" s="77"/>
      <c r="D45" s="78" t="s">
        <v>795</v>
      </c>
      <c r="E45" s="29" t="s">
        <v>795</v>
      </c>
      <c r="F45" s="14" t="s">
        <v>1070</v>
      </c>
    </row>
    <row r="46" spans="1:6" ht="25" customHeight="1" x14ac:dyDescent="0.3">
      <c r="A46" s="29">
        <v>88</v>
      </c>
      <c r="B46" s="77"/>
      <c r="C46" s="77"/>
      <c r="D46" s="78"/>
      <c r="E46" s="29" t="s">
        <v>1020</v>
      </c>
      <c r="F46" s="14" t="s">
        <v>1071</v>
      </c>
    </row>
    <row r="47" spans="1:6" ht="25" customHeight="1" x14ac:dyDescent="0.3">
      <c r="A47" s="29">
        <v>89</v>
      </c>
      <c r="B47" s="77"/>
      <c r="C47" s="77"/>
      <c r="D47" s="78"/>
      <c r="E47" s="29" t="s">
        <v>1020</v>
      </c>
      <c r="F47" s="14" t="s">
        <v>1072</v>
      </c>
    </row>
    <row r="48" spans="1:6" ht="19" customHeight="1" x14ac:dyDescent="0.3">
      <c r="A48" s="29">
        <v>90</v>
      </c>
      <c r="B48" s="77"/>
      <c r="C48" s="77"/>
      <c r="D48" s="55" t="s">
        <v>1073</v>
      </c>
      <c r="E48" s="29" t="s">
        <v>1020</v>
      </c>
      <c r="F48" s="14" t="s">
        <v>1065</v>
      </c>
    </row>
    <row r="49" spans="1:6" ht="19" customHeight="1" x14ac:dyDescent="0.3">
      <c r="A49" s="29">
        <v>91</v>
      </c>
      <c r="B49" s="77"/>
      <c r="C49" s="77"/>
      <c r="D49" s="55" t="s">
        <v>1074</v>
      </c>
      <c r="E49" s="29" t="s">
        <v>1020</v>
      </c>
      <c r="F49" s="14" t="s">
        <v>1075</v>
      </c>
    </row>
    <row r="50" spans="1:6" ht="19" customHeight="1" x14ac:dyDescent="0.3">
      <c r="A50" s="29">
        <v>92</v>
      </c>
      <c r="B50" s="77"/>
      <c r="C50" s="77"/>
      <c r="D50" s="55" t="s">
        <v>819</v>
      </c>
      <c r="E50" s="29" t="s">
        <v>819</v>
      </c>
      <c r="F50" s="14" t="s">
        <v>1067</v>
      </c>
    </row>
    <row r="51" spans="1:6" ht="19" customHeight="1" x14ac:dyDescent="0.3">
      <c r="A51" s="29">
        <v>93</v>
      </c>
      <c r="B51" s="77"/>
      <c r="C51" s="77"/>
      <c r="D51" s="55" t="s">
        <v>1076</v>
      </c>
      <c r="E51" s="29" t="s">
        <v>1020</v>
      </c>
      <c r="F51" s="14" t="s">
        <v>1069</v>
      </c>
    </row>
    <row r="52" spans="1:6" ht="19" customHeight="1" x14ac:dyDescent="0.3">
      <c r="A52" s="29">
        <v>94</v>
      </c>
      <c r="B52" s="77"/>
      <c r="C52" s="77"/>
      <c r="D52" s="55" t="s">
        <v>822</v>
      </c>
      <c r="E52" s="29" t="s">
        <v>822</v>
      </c>
      <c r="F52" s="14" t="s">
        <v>1072</v>
      </c>
    </row>
    <row r="53" spans="1:6" ht="19" customHeight="1" x14ac:dyDescent="0.3">
      <c r="A53" s="29">
        <v>95</v>
      </c>
      <c r="B53" s="77"/>
      <c r="C53" s="77"/>
      <c r="D53" s="55" t="s">
        <v>1077</v>
      </c>
      <c r="E53" s="29" t="s">
        <v>1020</v>
      </c>
      <c r="F53" s="14" t="s">
        <v>1078</v>
      </c>
    </row>
    <row r="54" spans="1:6" ht="19" customHeight="1" x14ac:dyDescent="0.3">
      <c r="A54" s="29">
        <v>96</v>
      </c>
      <c r="B54" s="77"/>
      <c r="C54" s="77"/>
      <c r="D54" s="29" t="s">
        <v>1079</v>
      </c>
      <c r="E54" s="29" t="s">
        <v>805</v>
      </c>
      <c r="F54" s="14" t="s">
        <v>1080</v>
      </c>
    </row>
    <row r="55" spans="1:6" ht="19" customHeight="1" x14ac:dyDescent="0.3">
      <c r="A55" s="29">
        <v>97</v>
      </c>
      <c r="B55" s="77"/>
      <c r="C55" s="77"/>
      <c r="D55" s="29" t="s">
        <v>1081</v>
      </c>
      <c r="E55" s="29" t="s">
        <v>807</v>
      </c>
      <c r="F55" s="14" t="s">
        <v>1082</v>
      </c>
    </row>
    <row r="56" spans="1:6" ht="19" customHeight="1" x14ac:dyDescent="0.3">
      <c r="A56" s="29">
        <v>98</v>
      </c>
      <c r="B56" s="77"/>
      <c r="C56" s="77"/>
      <c r="D56" s="29" t="s">
        <v>1083</v>
      </c>
      <c r="E56" s="29" t="s">
        <v>1020</v>
      </c>
    </row>
    <row r="57" spans="1:6" ht="19" customHeight="1" x14ac:dyDescent="0.3">
      <c r="A57" s="29">
        <v>99</v>
      </c>
      <c r="B57" s="77"/>
      <c r="C57" s="77" t="s">
        <v>959</v>
      </c>
      <c r="D57" s="29" t="s">
        <v>812</v>
      </c>
      <c r="E57" s="29" t="s">
        <v>812</v>
      </c>
      <c r="F57" s="14" t="s">
        <v>1084</v>
      </c>
    </row>
    <row r="58" spans="1:6" ht="19" customHeight="1" x14ac:dyDescent="0.3">
      <c r="A58" s="29">
        <v>100</v>
      </c>
      <c r="B58" s="77"/>
      <c r="C58" s="77"/>
      <c r="D58" s="29" t="s">
        <v>814</v>
      </c>
      <c r="E58" s="29" t="s">
        <v>814</v>
      </c>
      <c r="F58" s="14" t="s">
        <v>1085</v>
      </c>
    </row>
    <row r="59" spans="1:6" ht="19" customHeight="1" x14ac:dyDescent="0.3">
      <c r="A59" s="29">
        <v>101</v>
      </c>
      <c r="B59" s="77"/>
      <c r="C59" s="77"/>
      <c r="D59" s="55" t="s">
        <v>871</v>
      </c>
      <c r="E59" s="29" t="s">
        <v>1020</v>
      </c>
    </row>
    <row r="60" spans="1:6" ht="19" customHeight="1" x14ac:dyDescent="0.3">
      <c r="A60" s="29">
        <v>102</v>
      </c>
      <c r="B60" s="77"/>
      <c r="C60" s="77" t="s">
        <v>962</v>
      </c>
      <c r="D60" s="29" t="s">
        <v>1086</v>
      </c>
      <c r="E60" s="29" t="s">
        <v>1020</v>
      </c>
    </row>
    <row r="61" spans="1:6" ht="19" customHeight="1" x14ac:dyDescent="0.3">
      <c r="A61" s="29">
        <v>103</v>
      </c>
      <c r="B61" s="77"/>
      <c r="C61" s="77"/>
      <c r="D61" s="29" t="s">
        <v>1087</v>
      </c>
      <c r="E61" s="29" t="s">
        <v>1020</v>
      </c>
    </row>
    <row r="62" spans="1:6" ht="19" customHeight="1" x14ac:dyDescent="0.3">
      <c r="A62" s="29">
        <v>104</v>
      </c>
      <c r="B62" s="77"/>
      <c r="C62" s="77"/>
      <c r="D62" s="29" t="s">
        <v>781</v>
      </c>
      <c r="E62" s="29" t="s">
        <v>1020</v>
      </c>
    </row>
    <row r="63" spans="1:6" ht="19" customHeight="1" x14ac:dyDescent="0.3">
      <c r="A63" s="29">
        <v>105</v>
      </c>
      <c r="B63" s="77"/>
      <c r="C63" s="77"/>
      <c r="D63" s="29" t="s">
        <v>782</v>
      </c>
      <c r="E63" s="29" t="s">
        <v>1020</v>
      </c>
    </row>
    <row r="64" spans="1:6" ht="19" customHeight="1" x14ac:dyDescent="0.3">
      <c r="A64" s="29">
        <v>106</v>
      </c>
      <c r="B64" s="77"/>
      <c r="C64" s="77"/>
      <c r="D64" s="29" t="s">
        <v>1088</v>
      </c>
      <c r="E64" s="29" t="s">
        <v>1020</v>
      </c>
    </row>
    <row r="65" spans="1:6" ht="19" customHeight="1" x14ac:dyDescent="0.3">
      <c r="A65" s="29">
        <v>107</v>
      </c>
      <c r="B65" s="77"/>
      <c r="C65" s="77"/>
      <c r="D65" s="29" t="s">
        <v>288</v>
      </c>
      <c r="E65" s="29" t="s">
        <v>1020</v>
      </c>
    </row>
    <row r="66" spans="1:6" ht="19" customHeight="1" x14ac:dyDescent="0.3">
      <c r="A66" s="29">
        <v>108</v>
      </c>
      <c r="B66" s="77"/>
      <c r="C66" s="77" t="s">
        <v>291</v>
      </c>
      <c r="D66" s="52" t="s">
        <v>1089</v>
      </c>
      <c r="E66" s="29" t="s">
        <v>1020</v>
      </c>
      <c r="F66" s="14" t="s">
        <v>1090</v>
      </c>
    </row>
    <row r="67" spans="1:6" ht="19" customHeight="1" x14ac:dyDescent="0.3">
      <c r="A67" s="29">
        <v>109</v>
      </c>
      <c r="B67" s="77"/>
      <c r="C67" s="77"/>
      <c r="D67" s="52" t="s">
        <v>1091</v>
      </c>
      <c r="E67" s="29" t="s">
        <v>1020</v>
      </c>
      <c r="F67" s="14" t="s">
        <v>1092</v>
      </c>
    </row>
    <row r="68" spans="1:6" ht="19" customHeight="1" x14ac:dyDescent="0.3">
      <c r="A68" s="29">
        <v>110</v>
      </c>
      <c r="B68" s="77"/>
      <c r="C68" s="77"/>
      <c r="D68" s="52" t="s">
        <v>1093</v>
      </c>
      <c r="E68" s="29" t="s">
        <v>1020</v>
      </c>
      <c r="F68" s="14" t="s">
        <v>1092</v>
      </c>
    </row>
    <row r="69" spans="1:6" ht="19" customHeight="1" x14ac:dyDescent="0.3">
      <c r="A69" s="29">
        <v>111</v>
      </c>
      <c r="B69" s="77"/>
      <c r="C69" s="77"/>
      <c r="D69" s="52" t="s">
        <v>1094</v>
      </c>
      <c r="E69" s="29" t="s">
        <v>1020</v>
      </c>
    </row>
    <row r="70" spans="1:6" ht="19" customHeight="1" x14ac:dyDescent="0.3">
      <c r="A70" s="29">
        <v>112</v>
      </c>
      <c r="B70" s="77"/>
      <c r="C70" s="77"/>
      <c r="D70" s="52" t="s">
        <v>1095</v>
      </c>
      <c r="E70" s="29" t="s">
        <v>1020</v>
      </c>
    </row>
    <row r="71" spans="1:6" ht="19" customHeight="1" x14ac:dyDescent="0.3">
      <c r="A71" s="29">
        <v>113</v>
      </c>
      <c r="B71" s="77"/>
      <c r="C71" s="77" t="s">
        <v>1096</v>
      </c>
      <c r="D71" s="52" t="s">
        <v>1097</v>
      </c>
      <c r="E71" s="29" t="s">
        <v>1020</v>
      </c>
    </row>
    <row r="72" spans="1:6" ht="19" customHeight="1" x14ac:dyDescent="0.3">
      <c r="A72" s="29">
        <v>114</v>
      </c>
      <c r="B72" s="77"/>
      <c r="C72" s="77"/>
      <c r="D72" s="52" t="s">
        <v>1098</v>
      </c>
      <c r="E72" s="29" t="s">
        <v>1020</v>
      </c>
    </row>
    <row r="73" spans="1:6" ht="19" customHeight="1" x14ac:dyDescent="0.3">
      <c r="A73" s="29">
        <v>115</v>
      </c>
      <c r="B73" s="77"/>
      <c r="C73" s="77" t="s">
        <v>254</v>
      </c>
      <c r="D73" s="78" t="s">
        <v>773</v>
      </c>
      <c r="E73" s="29" t="s">
        <v>1020</v>
      </c>
      <c r="F73" s="14" t="s">
        <v>1099</v>
      </c>
    </row>
    <row r="74" spans="1:6" ht="19" customHeight="1" x14ac:dyDescent="0.3">
      <c r="A74" s="29">
        <v>116</v>
      </c>
      <c r="B74" s="77"/>
      <c r="C74" s="77"/>
      <c r="D74" s="78"/>
      <c r="E74" s="29" t="s">
        <v>1020</v>
      </c>
      <c r="F74" s="14" t="s">
        <v>1059</v>
      </c>
    </row>
    <row r="75" spans="1:6" ht="25" customHeight="1" x14ac:dyDescent="0.3">
      <c r="A75" s="29">
        <v>117</v>
      </c>
      <c r="B75" s="77"/>
      <c r="C75" s="77"/>
      <c r="D75" s="78"/>
      <c r="E75" s="29" t="s">
        <v>1020</v>
      </c>
      <c r="F75" s="14" t="s">
        <v>1100</v>
      </c>
    </row>
    <row r="76" spans="1:6" ht="19" customHeight="1" x14ac:dyDescent="0.3">
      <c r="A76" s="29">
        <v>118</v>
      </c>
      <c r="B76" s="77"/>
      <c r="C76" s="77"/>
      <c r="D76" s="52" t="s">
        <v>1101</v>
      </c>
      <c r="E76" s="29" t="s">
        <v>1020</v>
      </c>
    </row>
    <row r="77" spans="1:6" ht="19" customHeight="1" x14ac:dyDescent="0.3">
      <c r="A77" s="29">
        <v>119</v>
      </c>
      <c r="B77" s="77"/>
      <c r="C77" s="77"/>
      <c r="D77" s="52" t="s">
        <v>1102</v>
      </c>
      <c r="E77" s="29" t="s">
        <v>1020</v>
      </c>
    </row>
    <row r="78" spans="1:6" ht="19" customHeight="1" x14ac:dyDescent="0.3">
      <c r="A78" s="29">
        <v>120</v>
      </c>
      <c r="B78" s="77"/>
      <c r="C78" s="77"/>
      <c r="D78" s="56" t="s">
        <v>1103</v>
      </c>
      <c r="E78" s="29" t="s">
        <v>1020</v>
      </c>
      <c r="F78" s="14" t="s">
        <v>1104</v>
      </c>
    </row>
    <row r="79" spans="1:6" ht="19" customHeight="1" x14ac:dyDescent="0.3">
      <c r="A79" s="29">
        <v>121</v>
      </c>
      <c r="B79" s="77"/>
      <c r="C79" s="77"/>
      <c r="D79" s="56" t="s">
        <v>1105</v>
      </c>
      <c r="E79" s="29" t="s">
        <v>1020</v>
      </c>
      <c r="F79" s="14"/>
    </row>
    <row r="80" spans="1:6" ht="25" customHeight="1" x14ac:dyDescent="0.3">
      <c r="A80" s="29">
        <v>122</v>
      </c>
      <c r="B80" s="77"/>
      <c r="C80" s="77"/>
      <c r="D80" s="78" t="s">
        <v>1106</v>
      </c>
      <c r="E80" s="29" t="s">
        <v>1020</v>
      </c>
      <c r="F80" s="14" t="s">
        <v>1107</v>
      </c>
    </row>
    <row r="81" spans="1:6" ht="19" customHeight="1" x14ac:dyDescent="0.3">
      <c r="A81" s="29">
        <v>123</v>
      </c>
      <c r="B81" s="77"/>
      <c r="C81" s="77"/>
      <c r="D81" s="78"/>
      <c r="E81" s="29" t="s">
        <v>1020</v>
      </c>
      <c r="F81" s="14" t="s">
        <v>1108</v>
      </c>
    </row>
    <row r="82" spans="1:6" ht="19" customHeight="1" x14ac:dyDescent="0.3">
      <c r="A82" s="29">
        <v>124</v>
      </c>
      <c r="B82" s="77" t="s">
        <v>161</v>
      </c>
      <c r="C82" s="77" t="s">
        <v>604</v>
      </c>
      <c r="D82" s="52" t="s">
        <v>604</v>
      </c>
      <c r="E82" s="29" t="s">
        <v>604</v>
      </c>
      <c r="F82" s="14" t="s">
        <v>1109</v>
      </c>
    </row>
    <row r="83" spans="1:6" ht="19" customHeight="1" x14ac:dyDescent="0.3">
      <c r="A83" s="29">
        <v>125</v>
      </c>
      <c r="B83" s="77"/>
      <c r="C83" s="77"/>
      <c r="D83" s="52" t="s">
        <v>599</v>
      </c>
      <c r="E83" s="29" t="s">
        <v>599</v>
      </c>
      <c r="F83" s="14" t="s">
        <v>1110</v>
      </c>
    </row>
    <row r="84" spans="1:6" ht="19" customHeight="1" x14ac:dyDescent="0.3">
      <c r="A84" s="29">
        <v>126</v>
      </c>
      <c r="B84" s="77"/>
      <c r="C84" s="77"/>
      <c r="D84" s="52" t="s">
        <v>607</v>
      </c>
      <c r="E84" s="29" t="s">
        <v>607</v>
      </c>
      <c r="F84" s="14" t="s">
        <v>1111</v>
      </c>
    </row>
    <row r="85" spans="1:6" ht="19" customHeight="1" x14ac:dyDescent="0.3">
      <c r="A85" s="29">
        <v>127</v>
      </c>
      <c r="B85" s="77"/>
      <c r="C85" s="77"/>
      <c r="D85" s="52" t="s">
        <v>610</v>
      </c>
      <c r="E85" s="29" t="s">
        <v>610</v>
      </c>
      <c r="F85" s="14" t="s">
        <v>1112</v>
      </c>
    </row>
    <row r="86" spans="1:6" ht="19" customHeight="1" x14ac:dyDescent="0.3">
      <c r="A86" s="29">
        <v>128</v>
      </c>
      <c r="B86" s="77"/>
      <c r="C86" s="77"/>
      <c r="D86" s="52" t="s">
        <v>602</v>
      </c>
      <c r="E86" s="29" t="s">
        <v>602</v>
      </c>
      <c r="F86" s="14" t="s">
        <v>1113</v>
      </c>
    </row>
    <row r="87" spans="1:6" ht="19" customHeight="1" x14ac:dyDescent="0.3">
      <c r="A87" s="29">
        <v>129</v>
      </c>
      <c r="B87" s="77"/>
      <c r="C87" s="77"/>
      <c r="D87" s="52" t="s">
        <v>1114</v>
      </c>
      <c r="E87" s="29" t="s">
        <v>1020</v>
      </c>
      <c r="F87" s="14"/>
    </row>
    <row r="88" spans="1:6" ht="19" customHeight="1" x14ac:dyDescent="0.3">
      <c r="A88" s="29">
        <v>130</v>
      </c>
      <c r="B88" s="77"/>
      <c r="C88" s="77"/>
      <c r="D88" s="52" t="s">
        <v>1115</v>
      </c>
      <c r="E88" s="29" t="s">
        <v>1020</v>
      </c>
      <c r="F88" s="14"/>
    </row>
    <row r="89" spans="1:6" ht="19" customHeight="1" x14ac:dyDescent="0.3">
      <c r="A89" s="29">
        <v>131</v>
      </c>
      <c r="B89" s="77"/>
      <c r="C89" s="77"/>
      <c r="D89" s="52" t="s">
        <v>1116</v>
      </c>
      <c r="E89" s="29" t="s">
        <v>1020</v>
      </c>
      <c r="F89" s="14" t="s">
        <v>1117</v>
      </c>
    </row>
    <row r="90" spans="1:6" ht="19" customHeight="1" x14ac:dyDescent="0.3">
      <c r="A90" s="29">
        <v>132</v>
      </c>
      <c r="B90" s="77"/>
      <c r="C90" s="77" t="s">
        <v>649</v>
      </c>
      <c r="D90" s="52" t="s">
        <v>649</v>
      </c>
      <c r="E90" s="29" t="s">
        <v>649</v>
      </c>
      <c r="F90" s="14" t="s">
        <v>1118</v>
      </c>
    </row>
    <row r="91" spans="1:6" ht="19" customHeight="1" x14ac:dyDescent="0.3">
      <c r="A91" s="29">
        <v>133</v>
      </c>
      <c r="B91" s="77"/>
      <c r="C91" s="77"/>
      <c r="D91" s="52" t="s">
        <v>647</v>
      </c>
      <c r="E91" s="29" t="s">
        <v>647</v>
      </c>
      <c r="F91" s="14" t="s">
        <v>1119</v>
      </c>
    </row>
    <row r="92" spans="1:6" ht="19" customHeight="1" x14ac:dyDescent="0.3">
      <c r="A92" s="29">
        <v>134</v>
      </c>
      <c r="B92" s="77"/>
      <c r="C92" s="77"/>
      <c r="D92" s="52" t="s">
        <v>1120</v>
      </c>
      <c r="E92" s="29" t="s">
        <v>1020</v>
      </c>
      <c r="F92" s="14" t="s">
        <v>1121</v>
      </c>
    </row>
    <row r="93" spans="1:6" ht="19" customHeight="1" x14ac:dyDescent="0.3">
      <c r="A93" s="29">
        <v>135</v>
      </c>
      <c r="B93" s="77"/>
      <c r="C93" s="77" t="s">
        <v>631</v>
      </c>
      <c r="D93" s="52" t="s">
        <v>643</v>
      </c>
      <c r="E93" s="29" t="s">
        <v>643</v>
      </c>
      <c r="F93" s="14" t="s">
        <v>1122</v>
      </c>
    </row>
    <row r="94" spans="1:6" ht="19" customHeight="1" x14ac:dyDescent="0.3">
      <c r="A94" s="29">
        <v>136</v>
      </c>
      <c r="B94" s="77"/>
      <c r="C94" s="77"/>
      <c r="D94" s="52" t="s">
        <v>640</v>
      </c>
      <c r="E94" s="29" t="s">
        <v>640</v>
      </c>
      <c r="F94" s="14" t="s">
        <v>1123</v>
      </c>
    </row>
    <row r="95" spans="1:6" ht="19" customHeight="1" x14ac:dyDescent="0.3">
      <c r="A95" s="29">
        <v>137</v>
      </c>
      <c r="B95" s="77"/>
      <c r="C95" s="77"/>
      <c r="D95" s="52" t="s">
        <v>207</v>
      </c>
      <c r="E95" s="29" t="s">
        <v>1020</v>
      </c>
      <c r="F95" s="14"/>
    </row>
    <row r="96" spans="1:6" ht="19" customHeight="1" x14ac:dyDescent="0.3">
      <c r="A96" s="29">
        <v>138</v>
      </c>
      <c r="B96" s="77"/>
      <c r="C96" s="77"/>
      <c r="D96" s="52" t="s">
        <v>546</v>
      </c>
      <c r="E96" s="29" t="s">
        <v>1020</v>
      </c>
      <c r="F96" s="14" t="s">
        <v>1124</v>
      </c>
    </row>
    <row r="97" spans="1:6" ht="19" customHeight="1" x14ac:dyDescent="0.3">
      <c r="A97" s="29">
        <v>139</v>
      </c>
      <c r="B97" s="77"/>
      <c r="C97" s="77"/>
      <c r="D97" s="52" t="s">
        <v>532</v>
      </c>
      <c r="E97" s="29" t="s">
        <v>532</v>
      </c>
      <c r="F97" s="14" t="s">
        <v>1125</v>
      </c>
    </row>
    <row r="98" spans="1:6" ht="19" customHeight="1" x14ac:dyDescent="0.3">
      <c r="A98" s="29">
        <v>140</v>
      </c>
      <c r="B98" s="77"/>
      <c r="C98" s="77"/>
      <c r="D98" s="52" t="s">
        <v>527</v>
      </c>
      <c r="E98" s="29" t="s">
        <v>527</v>
      </c>
      <c r="F98" s="14" t="s">
        <v>1126</v>
      </c>
    </row>
    <row r="99" spans="1:6" ht="19" customHeight="1" x14ac:dyDescent="0.3">
      <c r="A99" s="29">
        <v>141</v>
      </c>
      <c r="B99" s="77"/>
      <c r="C99" s="77"/>
      <c r="D99" s="52" t="s">
        <v>634</v>
      </c>
      <c r="E99" s="29" t="s">
        <v>634</v>
      </c>
      <c r="F99" s="14" t="s">
        <v>1127</v>
      </c>
    </row>
    <row r="100" spans="1:6" ht="19" customHeight="1" x14ac:dyDescent="0.3">
      <c r="A100" s="29">
        <v>142</v>
      </c>
      <c r="B100" s="77"/>
      <c r="C100" s="77"/>
      <c r="D100" s="52" t="s">
        <v>1128</v>
      </c>
      <c r="E100" s="29" t="s">
        <v>1020</v>
      </c>
      <c r="F100" s="14" t="s">
        <v>1129</v>
      </c>
    </row>
    <row r="101" spans="1:6" ht="19" customHeight="1" x14ac:dyDescent="0.3">
      <c r="A101" s="29">
        <v>143</v>
      </c>
      <c r="B101" s="77"/>
      <c r="C101" s="77" t="s">
        <v>345</v>
      </c>
      <c r="D101" s="52" t="s">
        <v>673</v>
      </c>
      <c r="E101" s="29" t="s">
        <v>673</v>
      </c>
      <c r="F101" s="14" t="s">
        <v>1130</v>
      </c>
    </row>
    <row r="102" spans="1:6" ht="19" customHeight="1" x14ac:dyDescent="0.3">
      <c r="A102" s="29">
        <v>144</v>
      </c>
      <c r="B102" s="77"/>
      <c r="C102" s="77"/>
      <c r="D102" s="52" t="s">
        <v>675</v>
      </c>
      <c r="E102" s="29" t="s">
        <v>675</v>
      </c>
      <c r="F102" s="14" t="s">
        <v>1131</v>
      </c>
    </row>
    <row r="103" spans="1:6" ht="19" customHeight="1" x14ac:dyDescent="0.3">
      <c r="A103" s="29">
        <v>145</v>
      </c>
      <c r="B103" s="77"/>
      <c r="C103" s="77"/>
      <c r="D103" s="52" t="s">
        <v>1132</v>
      </c>
      <c r="E103" s="29" t="s">
        <v>1020</v>
      </c>
      <c r="F103" s="14" t="s">
        <v>1133</v>
      </c>
    </row>
    <row r="104" spans="1:6" ht="19" customHeight="1" x14ac:dyDescent="0.3">
      <c r="A104" s="29">
        <v>146</v>
      </c>
      <c r="B104" s="77"/>
      <c r="C104" s="77"/>
      <c r="D104" s="52" t="s">
        <v>948</v>
      </c>
      <c r="E104" s="29" t="s">
        <v>1020</v>
      </c>
      <c r="F104" s="14" t="s">
        <v>1134</v>
      </c>
    </row>
    <row r="105" spans="1:6" ht="19" customHeight="1" x14ac:dyDescent="0.3">
      <c r="A105" s="29">
        <v>147</v>
      </c>
      <c r="B105" s="77"/>
      <c r="C105" s="77" t="s">
        <v>438</v>
      </c>
      <c r="D105" s="52" t="s">
        <v>1135</v>
      </c>
      <c r="E105" s="29" t="s">
        <v>1020</v>
      </c>
      <c r="F105" s="14" t="s">
        <v>1059</v>
      </c>
    </row>
    <row r="106" spans="1:6" ht="19" customHeight="1" x14ac:dyDescent="0.3">
      <c r="A106" s="29">
        <v>148</v>
      </c>
      <c r="B106" s="77"/>
      <c r="C106" s="77"/>
      <c r="D106" s="52" t="s">
        <v>680</v>
      </c>
      <c r="E106" s="29" t="s">
        <v>1020</v>
      </c>
      <c r="F106" s="14" t="s">
        <v>1059</v>
      </c>
    </row>
    <row r="107" spans="1:6" ht="19" customHeight="1" x14ac:dyDescent="0.3">
      <c r="A107" s="29">
        <v>149</v>
      </c>
      <c r="B107" s="77"/>
      <c r="C107" s="77"/>
      <c r="D107" s="52" t="s">
        <v>677</v>
      </c>
      <c r="E107" s="29" t="s">
        <v>678</v>
      </c>
      <c r="F107" s="14" t="s">
        <v>1059</v>
      </c>
    </row>
    <row r="108" spans="1:6" ht="19" customHeight="1" x14ac:dyDescent="0.3">
      <c r="A108" s="29">
        <v>150</v>
      </c>
      <c r="B108" s="77"/>
      <c r="C108" s="77"/>
      <c r="D108" s="52" t="s">
        <v>683</v>
      </c>
      <c r="E108" s="29" t="s">
        <v>684</v>
      </c>
      <c r="F108" s="14" t="s">
        <v>1059</v>
      </c>
    </row>
    <row r="109" spans="1:6" ht="19" customHeight="1" x14ac:dyDescent="0.3">
      <c r="A109" s="29">
        <v>151</v>
      </c>
      <c r="B109" s="77"/>
      <c r="C109" s="77" t="s">
        <v>963</v>
      </c>
      <c r="D109" s="52" t="s">
        <v>1136</v>
      </c>
      <c r="E109" s="29" t="s">
        <v>1020</v>
      </c>
      <c r="F109" s="14" t="s">
        <v>1137</v>
      </c>
    </row>
    <row r="110" spans="1:6" ht="19" customHeight="1" x14ac:dyDescent="0.3">
      <c r="A110" s="29">
        <v>152</v>
      </c>
      <c r="B110" s="77"/>
      <c r="C110" s="77"/>
      <c r="D110" s="52" t="s">
        <v>203</v>
      </c>
      <c r="E110" s="29" t="s">
        <v>1020</v>
      </c>
    </row>
    <row r="111" spans="1:6" ht="19" customHeight="1" x14ac:dyDescent="0.3">
      <c r="A111" s="29">
        <v>153</v>
      </c>
      <c r="B111" s="77"/>
      <c r="C111" s="77"/>
      <c r="D111" s="52" t="s">
        <v>1138</v>
      </c>
      <c r="E111" s="29" t="s">
        <v>1020</v>
      </c>
      <c r="F111" s="14" t="s">
        <v>1139</v>
      </c>
    </row>
    <row r="112" spans="1:6" ht="19" customHeight="1" x14ac:dyDescent="0.3">
      <c r="A112" s="29">
        <v>154</v>
      </c>
      <c r="B112" s="77"/>
      <c r="C112" s="77"/>
      <c r="D112" s="52" t="s">
        <v>205</v>
      </c>
      <c r="E112" s="29" t="s">
        <v>1020</v>
      </c>
      <c r="F112" s="14"/>
    </row>
    <row r="113" spans="1:6" ht="19" customHeight="1" x14ac:dyDescent="0.3">
      <c r="A113" s="29">
        <v>155</v>
      </c>
      <c r="B113" s="77"/>
      <c r="C113" s="77"/>
      <c r="D113" s="52" t="s">
        <v>1140</v>
      </c>
      <c r="E113" s="29" t="s">
        <v>1020</v>
      </c>
      <c r="F113" s="14" t="s">
        <v>1141</v>
      </c>
    </row>
    <row r="114" spans="1:6" ht="19" customHeight="1" x14ac:dyDescent="0.3">
      <c r="A114" s="29">
        <v>156</v>
      </c>
      <c r="B114" s="77"/>
      <c r="C114" s="77"/>
      <c r="D114" s="52" t="s">
        <v>628</v>
      </c>
      <c r="E114" s="29" t="s">
        <v>628</v>
      </c>
      <c r="F114" s="14" t="s">
        <v>1142</v>
      </c>
    </row>
    <row r="115" spans="1:6" ht="19" customHeight="1" x14ac:dyDescent="0.3">
      <c r="A115" s="29">
        <v>157</v>
      </c>
      <c r="B115" s="77"/>
      <c r="C115" s="77"/>
      <c r="D115" s="52" t="s">
        <v>1143</v>
      </c>
      <c r="E115" s="29" t="s">
        <v>1020</v>
      </c>
      <c r="F115" s="14" t="s">
        <v>1144</v>
      </c>
    </row>
    <row r="116" spans="1:6" ht="19" customHeight="1" x14ac:dyDescent="0.3">
      <c r="A116" s="29">
        <v>158</v>
      </c>
      <c r="B116" s="77"/>
      <c r="C116" s="77"/>
      <c r="D116" s="52" t="s">
        <v>1145</v>
      </c>
      <c r="E116" s="29" t="s">
        <v>1020</v>
      </c>
      <c r="F116" s="14" t="s">
        <v>1146</v>
      </c>
    </row>
    <row r="117" spans="1:6" ht="19" customHeight="1" x14ac:dyDescent="0.3">
      <c r="A117" s="29">
        <v>159</v>
      </c>
      <c r="B117" s="77"/>
      <c r="C117" s="77" t="s">
        <v>230</v>
      </c>
      <c r="D117" s="52" t="s">
        <v>231</v>
      </c>
      <c r="E117" s="29" t="s">
        <v>1020</v>
      </c>
    </row>
    <row r="118" spans="1:6" ht="19" customHeight="1" x14ac:dyDescent="0.3">
      <c r="A118" s="29">
        <v>160</v>
      </c>
      <c r="B118" s="77"/>
      <c r="C118" s="77"/>
      <c r="D118" s="52" t="s">
        <v>234</v>
      </c>
      <c r="E118" s="29" t="s">
        <v>1020</v>
      </c>
    </row>
    <row r="119" spans="1:6" ht="19" customHeight="1" x14ac:dyDescent="0.3">
      <c r="A119" s="29">
        <v>161</v>
      </c>
      <c r="B119" s="77"/>
      <c r="C119" s="77" t="s">
        <v>192</v>
      </c>
      <c r="D119" s="52" t="s">
        <v>655</v>
      </c>
      <c r="E119" s="29" t="s">
        <v>655</v>
      </c>
      <c r="F119" s="14" t="s">
        <v>1147</v>
      </c>
    </row>
    <row r="120" spans="1:6" ht="19" customHeight="1" x14ac:dyDescent="0.3">
      <c r="A120" s="29">
        <v>162</v>
      </c>
      <c r="B120" s="77"/>
      <c r="C120" s="77"/>
      <c r="D120" s="52" t="s">
        <v>653</v>
      </c>
      <c r="E120" s="29" t="s">
        <v>653</v>
      </c>
      <c r="F120" s="14" t="s">
        <v>1148</v>
      </c>
    </row>
    <row r="121" spans="1:6" ht="19" customHeight="1" x14ac:dyDescent="0.3">
      <c r="A121" s="29">
        <v>163</v>
      </c>
      <c r="B121" s="77"/>
      <c r="C121" s="77"/>
      <c r="D121" s="52" t="s">
        <v>947</v>
      </c>
      <c r="E121" s="29" t="s">
        <v>1020</v>
      </c>
      <c r="F121" s="14" t="s">
        <v>1149</v>
      </c>
    </row>
    <row r="122" spans="1:6" ht="19" customHeight="1" x14ac:dyDescent="0.3">
      <c r="A122" s="29">
        <v>164</v>
      </c>
      <c r="B122" s="77"/>
      <c r="C122" s="77"/>
      <c r="D122" s="52" t="s">
        <v>209</v>
      </c>
      <c r="E122" s="29" t="s">
        <v>1020</v>
      </c>
      <c r="F122" s="14"/>
    </row>
    <row r="123" spans="1:6" ht="19" customHeight="1" x14ac:dyDescent="0.3">
      <c r="A123" s="29">
        <v>165</v>
      </c>
      <c r="B123" s="77"/>
      <c r="C123" s="77"/>
      <c r="D123" s="52" t="s">
        <v>211</v>
      </c>
      <c r="E123" s="29" t="s">
        <v>1020</v>
      </c>
      <c r="F123" s="14"/>
    </row>
    <row r="124" spans="1:6" ht="19" customHeight="1" x14ac:dyDescent="0.3">
      <c r="A124" s="29">
        <v>166</v>
      </c>
      <c r="B124" s="77"/>
      <c r="C124" s="77"/>
      <c r="D124" s="52" t="s">
        <v>656</v>
      </c>
      <c r="E124" s="29" t="s">
        <v>1020</v>
      </c>
      <c r="F124" s="14"/>
    </row>
    <row r="125" spans="1:6" ht="19" customHeight="1" x14ac:dyDescent="0.3">
      <c r="A125" s="29">
        <v>167</v>
      </c>
      <c r="B125" s="77"/>
      <c r="C125" s="77"/>
      <c r="D125" s="52" t="s">
        <v>654</v>
      </c>
      <c r="E125" s="29" t="s">
        <v>654</v>
      </c>
      <c r="F125" s="14"/>
    </row>
    <row r="126" spans="1:6" ht="19" customHeight="1" x14ac:dyDescent="0.3">
      <c r="A126" s="29">
        <v>168</v>
      </c>
      <c r="B126" s="77"/>
      <c r="C126" s="77" t="s">
        <v>1150</v>
      </c>
      <c r="D126" s="52" t="s">
        <v>934</v>
      </c>
      <c r="E126" s="29" t="s">
        <v>934</v>
      </c>
      <c r="F126" s="14" t="s">
        <v>1151</v>
      </c>
    </row>
    <row r="127" spans="1:6" ht="19" customHeight="1" x14ac:dyDescent="0.3">
      <c r="A127" s="29">
        <v>169</v>
      </c>
      <c r="B127" s="77"/>
      <c r="C127" s="77"/>
      <c r="D127" s="52" t="s">
        <v>1152</v>
      </c>
      <c r="E127" s="29" t="s">
        <v>1020</v>
      </c>
      <c r="F127" s="14" t="s">
        <v>1153</v>
      </c>
    </row>
    <row r="128" spans="1:6" ht="19" customHeight="1" x14ac:dyDescent="0.3">
      <c r="A128" s="29">
        <v>170</v>
      </c>
      <c r="B128" s="77"/>
      <c r="C128" s="77"/>
      <c r="D128" s="52" t="s">
        <v>936</v>
      </c>
      <c r="E128" s="29" t="s">
        <v>936</v>
      </c>
      <c r="F128" s="14" t="s">
        <v>1154</v>
      </c>
    </row>
    <row r="129" spans="1:6" ht="19" customHeight="1" x14ac:dyDescent="0.3">
      <c r="A129" s="29">
        <v>171</v>
      </c>
      <c r="B129" s="77"/>
      <c r="C129" s="77"/>
      <c r="D129" s="52" t="s">
        <v>935</v>
      </c>
      <c r="E129" s="29" t="s">
        <v>935</v>
      </c>
      <c r="F129" s="14" t="s">
        <v>1155</v>
      </c>
    </row>
    <row r="130" spans="1:6" ht="19" customHeight="1" x14ac:dyDescent="0.3">
      <c r="A130" s="29">
        <v>172</v>
      </c>
      <c r="B130" s="77"/>
      <c r="C130" s="77"/>
      <c r="D130" s="52" t="s">
        <v>937</v>
      </c>
      <c r="E130" s="29" t="s">
        <v>937</v>
      </c>
      <c r="F130" s="14" t="s">
        <v>1156</v>
      </c>
    </row>
    <row r="131" spans="1:6" ht="19" customHeight="1" x14ac:dyDescent="0.3">
      <c r="A131" s="29">
        <v>173</v>
      </c>
      <c r="B131" s="77"/>
      <c r="C131" s="77"/>
      <c r="D131" s="52" t="s">
        <v>938</v>
      </c>
      <c r="E131" s="29" t="s">
        <v>938</v>
      </c>
      <c r="F131" s="14" t="s">
        <v>1157</v>
      </c>
    </row>
    <row r="132" spans="1:6" ht="19" customHeight="1" x14ac:dyDescent="0.3">
      <c r="A132" s="29">
        <v>174</v>
      </c>
      <c r="B132" s="77"/>
      <c r="C132" s="77" t="s">
        <v>227</v>
      </c>
      <c r="D132" s="52" t="s">
        <v>614</v>
      </c>
      <c r="E132" s="29" t="s">
        <v>1020</v>
      </c>
      <c r="F132" s="14" t="s">
        <v>1158</v>
      </c>
    </row>
    <row r="133" spans="1:6" ht="19" customHeight="1" x14ac:dyDescent="0.3">
      <c r="A133" s="29">
        <v>175</v>
      </c>
      <c r="B133" s="77"/>
      <c r="C133" s="77"/>
      <c r="D133" s="52" t="s">
        <v>685</v>
      </c>
      <c r="E133" s="29" t="s">
        <v>1020</v>
      </c>
      <c r="F133" s="14" t="s">
        <v>1159</v>
      </c>
    </row>
    <row r="134" spans="1:6" ht="19" customHeight="1" x14ac:dyDescent="0.3">
      <c r="A134" s="29">
        <v>176</v>
      </c>
      <c r="B134" s="77"/>
      <c r="C134" s="77"/>
      <c r="D134" s="52" t="s">
        <v>694</v>
      </c>
      <c r="E134" s="29" t="s">
        <v>694</v>
      </c>
      <c r="F134" s="14" t="s">
        <v>1160</v>
      </c>
    </row>
    <row r="135" spans="1:6" ht="19" customHeight="1" x14ac:dyDescent="0.3">
      <c r="A135" s="29">
        <v>177</v>
      </c>
      <c r="B135" s="77"/>
      <c r="C135" s="77"/>
      <c r="D135" s="52" t="s">
        <v>688</v>
      </c>
      <c r="E135" s="29" t="s">
        <v>688</v>
      </c>
      <c r="F135" s="14" t="s">
        <v>1161</v>
      </c>
    </row>
    <row r="136" spans="1:6" ht="19" customHeight="1" x14ac:dyDescent="0.3">
      <c r="A136" s="29">
        <v>178</v>
      </c>
      <c r="B136" s="77"/>
      <c r="C136" s="77"/>
      <c r="D136" s="52" t="s">
        <v>616</v>
      </c>
      <c r="E136" s="29" t="s">
        <v>617</v>
      </c>
      <c r="F136" s="14" t="s">
        <v>1162</v>
      </c>
    </row>
    <row r="137" spans="1:6" ht="19" customHeight="1" x14ac:dyDescent="0.3">
      <c r="A137" s="29">
        <v>179</v>
      </c>
      <c r="B137" s="77"/>
      <c r="C137" s="77" t="s">
        <v>190</v>
      </c>
      <c r="D137" s="52" t="s">
        <v>195</v>
      </c>
      <c r="E137" s="29" t="s">
        <v>1020</v>
      </c>
      <c r="F137" s="14"/>
    </row>
    <row r="138" spans="1:6" ht="19" customHeight="1" x14ac:dyDescent="0.3">
      <c r="A138" s="29">
        <v>180</v>
      </c>
      <c r="B138" s="77"/>
      <c r="C138" s="77"/>
      <c r="D138" s="52" t="s">
        <v>196</v>
      </c>
      <c r="E138" s="29" t="s">
        <v>1020</v>
      </c>
      <c r="F138" s="14"/>
    </row>
    <row r="139" spans="1:6" ht="19" customHeight="1" x14ac:dyDescent="0.3">
      <c r="A139" s="29">
        <v>181</v>
      </c>
      <c r="B139" s="77"/>
      <c r="C139" s="77"/>
      <c r="D139" s="52" t="s">
        <v>191</v>
      </c>
      <c r="E139" s="29" t="s">
        <v>1020</v>
      </c>
      <c r="F139" s="14"/>
    </row>
    <row r="140" spans="1:6" ht="19" customHeight="1" x14ac:dyDescent="0.3">
      <c r="A140" s="29">
        <v>182</v>
      </c>
      <c r="B140" s="77"/>
      <c r="C140" s="77" t="s">
        <v>159</v>
      </c>
      <c r="D140" s="52" t="s">
        <v>592</v>
      </c>
      <c r="E140" s="29" t="s">
        <v>592</v>
      </c>
      <c r="F140" s="14" t="s">
        <v>1163</v>
      </c>
    </row>
    <row r="141" spans="1:6" ht="19" customHeight="1" x14ac:dyDescent="0.3">
      <c r="A141" s="29">
        <v>183</v>
      </c>
      <c r="B141" s="77"/>
      <c r="C141" s="77"/>
      <c r="D141" s="52" t="s">
        <v>595</v>
      </c>
      <c r="E141" s="29" t="s">
        <v>595</v>
      </c>
      <c r="F141" s="14" t="s">
        <v>1164</v>
      </c>
    </row>
    <row r="142" spans="1:6" ht="19" customHeight="1" x14ac:dyDescent="0.3">
      <c r="A142" s="29">
        <v>184</v>
      </c>
      <c r="B142" s="77"/>
      <c r="C142" s="77"/>
      <c r="D142" s="52" t="s">
        <v>591</v>
      </c>
      <c r="E142" s="29" t="s">
        <v>591</v>
      </c>
      <c r="F142" s="14" t="s">
        <v>1165</v>
      </c>
    </row>
    <row r="143" spans="1:6" ht="19" customHeight="1" x14ac:dyDescent="0.3">
      <c r="A143" s="29">
        <v>185</v>
      </c>
      <c r="B143" s="77"/>
      <c r="C143" s="77" t="s">
        <v>164</v>
      </c>
      <c r="D143" s="52" t="s">
        <v>165</v>
      </c>
      <c r="E143" s="29" t="s">
        <v>1020</v>
      </c>
      <c r="F143" s="14"/>
    </row>
    <row r="144" spans="1:6" ht="19" customHeight="1" x14ac:dyDescent="0.3">
      <c r="A144" s="29">
        <v>186</v>
      </c>
      <c r="B144" s="77"/>
      <c r="C144" s="77"/>
      <c r="D144" s="52" t="s">
        <v>173</v>
      </c>
      <c r="E144" s="29" t="s">
        <v>1020</v>
      </c>
      <c r="F144" s="14"/>
    </row>
    <row r="145" spans="1:6" ht="19" customHeight="1" x14ac:dyDescent="0.3">
      <c r="A145" s="29">
        <v>187</v>
      </c>
      <c r="B145" s="77"/>
      <c r="C145" s="77"/>
      <c r="D145" s="52" t="s">
        <v>168</v>
      </c>
      <c r="E145" s="29" t="s">
        <v>1020</v>
      </c>
      <c r="F145" s="14"/>
    </row>
    <row r="146" spans="1:6" ht="19" customHeight="1" x14ac:dyDescent="0.3">
      <c r="A146" s="29">
        <v>188</v>
      </c>
      <c r="B146" s="77"/>
      <c r="C146" s="77" t="s">
        <v>1166</v>
      </c>
      <c r="D146" s="52" t="s">
        <v>581</v>
      </c>
      <c r="E146" s="29" t="s">
        <v>581</v>
      </c>
      <c r="F146" s="14" t="s">
        <v>1167</v>
      </c>
    </row>
    <row r="147" spans="1:6" ht="19" customHeight="1" x14ac:dyDescent="0.3">
      <c r="A147" s="29">
        <v>189</v>
      </c>
      <c r="B147" s="77"/>
      <c r="C147" s="77"/>
      <c r="D147" s="52" t="s">
        <v>704</v>
      </c>
      <c r="E147" s="29" t="s">
        <v>704</v>
      </c>
      <c r="F147" s="14" t="s">
        <v>1168</v>
      </c>
    </row>
    <row r="148" spans="1:6" ht="19" customHeight="1" x14ac:dyDescent="0.3">
      <c r="A148" s="29">
        <v>190</v>
      </c>
      <c r="B148" s="77"/>
      <c r="C148" s="77"/>
      <c r="D148" s="52" t="s">
        <v>1169</v>
      </c>
      <c r="E148" s="29" t="s">
        <v>1020</v>
      </c>
      <c r="F148" s="14"/>
    </row>
    <row r="149" spans="1:6" ht="19" customHeight="1" x14ac:dyDescent="0.3">
      <c r="A149" s="29">
        <v>191</v>
      </c>
      <c r="B149" s="77"/>
      <c r="C149" s="77"/>
      <c r="D149" s="52" t="s">
        <v>181</v>
      </c>
      <c r="E149" s="29" t="s">
        <v>1020</v>
      </c>
      <c r="F149" s="14"/>
    </row>
    <row r="150" spans="1:6" ht="19" customHeight="1" x14ac:dyDescent="0.3">
      <c r="A150" s="29">
        <v>192</v>
      </c>
      <c r="B150" s="77"/>
      <c r="C150" s="77"/>
      <c r="D150" s="52" t="s">
        <v>949</v>
      </c>
      <c r="E150" s="29" t="s">
        <v>1020</v>
      </c>
      <c r="F150" s="14"/>
    </row>
    <row r="151" spans="1:6" ht="19" customHeight="1" x14ac:dyDescent="0.3">
      <c r="A151" s="29">
        <v>193</v>
      </c>
      <c r="B151" s="77"/>
      <c r="C151" s="77"/>
      <c r="D151" s="52" t="s">
        <v>1170</v>
      </c>
      <c r="E151" s="29" t="s">
        <v>1020</v>
      </c>
      <c r="F151" s="14"/>
    </row>
    <row r="152" spans="1:6" ht="19" customHeight="1" x14ac:dyDescent="0.3">
      <c r="A152" s="29">
        <v>194</v>
      </c>
      <c r="B152" s="77"/>
      <c r="C152" s="77"/>
      <c r="D152" s="52" t="s">
        <v>176</v>
      </c>
      <c r="E152" s="29" t="s">
        <v>1020</v>
      </c>
      <c r="F152" s="14"/>
    </row>
    <row r="153" spans="1:6" ht="19" customHeight="1" x14ac:dyDescent="0.3">
      <c r="A153" s="29">
        <v>195</v>
      </c>
      <c r="B153" s="77"/>
      <c r="C153" s="77"/>
      <c r="D153" s="52" t="s">
        <v>588</v>
      </c>
      <c r="E153" s="29" t="s">
        <v>588</v>
      </c>
      <c r="F153" s="14" t="s">
        <v>1171</v>
      </c>
    </row>
    <row r="154" spans="1:6" ht="19" customHeight="1" x14ac:dyDescent="0.3">
      <c r="A154" s="29">
        <v>196</v>
      </c>
      <c r="B154" s="77"/>
      <c r="C154" s="77"/>
      <c r="D154" s="52" t="s">
        <v>582</v>
      </c>
      <c r="E154" s="29" t="s">
        <v>582</v>
      </c>
      <c r="F154" s="14" t="s">
        <v>1172</v>
      </c>
    </row>
    <row r="155" spans="1:6" ht="19" customHeight="1" x14ac:dyDescent="0.3">
      <c r="A155" s="29">
        <v>197</v>
      </c>
      <c r="B155" s="77"/>
      <c r="C155" s="77"/>
      <c r="D155" s="52" t="s">
        <v>586</v>
      </c>
      <c r="E155" s="29" t="s">
        <v>586</v>
      </c>
      <c r="F155" s="14" t="s">
        <v>1173</v>
      </c>
    </row>
    <row r="156" spans="1:6" ht="19" customHeight="1" x14ac:dyDescent="0.3">
      <c r="A156" s="29">
        <v>198</v>
      </c>
      <c r="B156" s="77"/>
      <c r="C156" s="77"/>
      <c r="D156" s="52" t="s">
        <v>584</v>
      </c>
      <c r="E156" s="29" t="s">
        <v>584</v>
      </c>
      <c r="F156" s="14" t="s">
        <v>1174</v>
      </c>
    </row>
    <row r="157" spans="1:6" ht="19" customHeight="1" x14ac:dyDescent="0.3">
      <c r="A157" s="29">
        <v>199</v>
      </c>
      <c r="B157" s="77"/>
      <c r="C157" s="77"/>
      <c r="D157" s="52" t="s">
        <v>579</v>
      </c>
      <c r="E157" s="29" t="s">
        <v>579</v>
      </c>
      <c r="F157" s="14" t="s">
        <v>1175</v>
      </c>
    </row>
    <row r="158" spans="1:6" ht="19" customHeight="1" x14ac:dyDescent="0.3">
      <c r="A158" s="29">
        <v>200</v>
      </c>
      <c r="B158" s="77" t="s">
        <v>239</v>
      </c>
      <c r="C158" s="77" t="s">
        <v>993</v>
      </c>
      <c r="D158" s="52" t="s">
        <v>716</v>
      </c>
      <c r="E158" s="29" t="s">
        <v>716</v>
      </c>
      <c r="F158" s="14" t="s">
        <v>1176</v>
      </c>
    </row>
    <row r="159" spans="1:6" ht="19" customHeight="1" x14ac:dyDescent="0.3">
      <c r="A159" s="29">
        <v>201</v>
      </c>
      <c r="B159" s="77"/>
      <c r="C159" s="77"/>
      <c r="D159" s="52" t="s">
        <v>720</v>
      </c>
      <c r="E159" s="29" t="s">
        <v>1020</v>
      </c>
      <c r="F159" s="14"/>
    </row>
    <row r="160" spans="1:6" ht="19" customHeight="1" x14ac:dyDescent="0.3">
      <c r="A160" s="29">
        <v>202</v>
      </c>
      <c r="B160" s="77"/>
      <c r="C160" s="77"/>
      <c r="D160" s="52" t="s">
        <v>718</v>
      </c>
      <c r="E160" s="29" t="s">
        <v>718</v>
      </c>
      <c r="F160" s="14" t="s">
        <v>1177</v>
      </c>
    </row>
    <row r="161" spans="1:6" ht="19" customHeight="1" x14ac:dyDescent="0.3">
      <c r="A161" s="29">
        <v>203</v>
      </c>
      <c r="B161" s="77"/>
      <c r="C161" s="77"/>
      <c r="D161" s="52" t="s">
        <v>1178</v>
      </c>
      <c r="E161" s="29" t="s">
        <v>1020</v>
      </c>
      <c r="F161" s="14" t="s">
        <v>1179</v>
      </c>
    </row>
    <row r="162" spans="1:6" ht="19" customHeight="1" x14ac:dyDescent="0.3">
      <c r="A162" s="29">
        <v>204</v>
      </c>
      <c r="B162" s="77"/>
      <c r="C162" s="77"/>
      <c r="D162" s="52" t="s">
        <v>721</v>
      </c>
      <c r="E162" s="29" t="s">
        <v>721</v>
      </c>
      <c r="F162" s="14" t="s">
        <v>1180</v>
      </c>
    </row>
    <row r="163" spans="1:6" ht="19" customHeight="1" x14ac:dyDescent="0.3">
      <c r="A163" s="29">
        <v>205</v>
      </c>
      <c r="B163" s="77"/>
      <c r="C163" s="77" t="s">
        <v>1181</v>
      </c>
      <c r="D163" s="77" t="s">
        <v>1182</v>
      </c>
      <c r="E163" s="29" t="s">
        <v>1020</v>
      </c>
      <c r="F163" s="14" t="s">
        <v>1183</v>
      </c>
    </row>
    <row r="164" spans="1:6" ht="25" customHeight="1" x14ac:dyDescent="0.3">
      <c r="A164" s="29">
        <v>206</v>
      </c>
      <c r="B164" s="77"/>
      <c r="C164" s="77"/>
      <c r="D164" s="77"/>
      <c r="E164" s="29" t="s">
        <v>1020</v>
      </c>
      <c r="F164" s="14" t="s">
        <v>1184</v>
      </c>
    </row>
    <row r="165" spans="1:6" ht="25" customHeight="1" x14ac:dyDescent="0.3">
      <c r="A165" s="29">
        <v>207</v>
      </c>
      <c r="B165" s="77"/>
      <c r="C165" s="77"/>
      <c r="D165" s="77"/>
      <c r="E165" s="29" t="s">
        <v>1020</v>
      </c>
      <c r="F165" s="14" t="s">
        <v>1185</v>
      </c>
    </row>
    <row r="166" spans="1:6" ht="19" customHeight="1" x14ac:dyDescent="0.3">
      <c r="A166" s="29">
        <v>208</v>
      </c>
      <c r="B166" s="77"/>
      <c r="C166" s="77"/>
      <c r="D166" s="52" t="s">
        <v>1186</v>
      </c>
      <c r="E166" s="29" t="s">
        <v>1020</v>
      </c>
      <c r="F166" s="14" t="s">
        <v>1187</v>
      </c>
    </row>
    <row r="167" spans="1:6" ht="19" customHeight="1" x14ac:dyDescent="0.3">
      <c r="A167" s="29">
        <v>209</v>
      </c>
      <c r="B167" s="77"/>
      <c r="C167" s="77"/>
      <c r="D167" s="77" t="s">
        <v>1188</v>
      </c>
      <c r="E167" s="29" t="s">
        <v>667</v>
      </c>
      <c r="F167" s="14" t="s">
        <v>1189</v>
      </c>
    </row>
    <row r="168" spans="1:6" ht="25" customHeight="1" x14ac:dyDescent="0.3">
      <c r="A168" s="29">
        <v>210</v>
      </c>
      <c r="B168" s="77"/>
      <c r="C168" s="77"/>
      <c r="D168" s="77"/>
      <c r="E168" s="29" t="s">
        <v>1020</v>
      </c>
      <c r="F168" s="14" t="s">
        <v>1190</v>
      </c>
    </row>
    <row r="169" spans="1:6" ht="25" customHeight="1" x14ac:dyDescent="0.3">
      <c r="A169" s="29">
        <v>211</v>
      </c>
      <c r="B169" s="77"/>
      <c r="C169" s="77"/>
      <c r="D169" s="77"/>
      <c r="E169" s="29" t="s">
        <v>1020</v>
      </c>
      <c r="F169" s="14" t="s">
        <v>1191</v>
      </c>
    </row>
    <row r="170" spans="1:6" ht="19" customHeight="1" x14ac:dyDescent="0.3">
      <c r="A170" s="29">
        <v>212</v>
      </c>
      <c r="B170" s="77"/>
      <c r="C170" s="77"/>
      <c r="D170" s="52" t="s">
        <v>1192</v>
      </c>
      <c r="E170" s="29" t="s">
        <v>669</v>
      </c>
      <c r="F170" s="14" t="s">
        <v>1193</v>
      </c>
    </row>
    <row r="171" spans="1:6" ht="19" customHeight="1" x14ac:dyDescent="0.3">
      <c r="A171" s="29">
        <v>213</v>
      </c>
      <c r="B171" s="77"/>
      <c r="C171" s="77"/>
      <c r="D171" s="52" t="s">
        <v>1194</v>
      </c>
      <c r="E171" s="29" t="s">
        <v>1020</v>
      </c>
      <c r="F171" s="14" t="s">
        <v>1195</v>
      </c>
    </row>
    <row r="172" spans="1:6" ht="19" customHeight="1" x14ac:dyDescent="0.3">
      <c r="A172" s="29">
        <v>214</v>
      </c>
      <c r="B172" s="77"/>
      <c r="C172" s="77"/>
      <c r="D172" s="52" t="s">
        <v>1196</v>
      </c>
      <c r="E172" s="29" t="s">
        <v>1020</v>
      </c>
      <c r="F172" s="14" t="s">
        <v>1197</v>
      </c>
    </row>
    <row r="173" spans="1:6" ht="19" customHeight="1" x14ac:dyDescent="0.3">
      <c r="A173" s="29">
        <v>215</v>
      </c>
      <c r="B173" s="77"/>
      <c r="C173" s="77"/>
      <c r="D173" s="52" t="s">
        <v>1198</v>
      </c>
      <c r="E173" s="29" t="s">
        <v>1020</v>
      </c>
      <c r="F173" s="14" t="s">
        <v>1199</v>
      </c>
    </row>
    <row r="174" spans="1:6" ht="19" customHeight="1" x14ac:dyDescent="0.3">
      <c r="A174" s="29">
        <v>216</v>
      </c>
      <c r="B174" s="77"/>
      <c r="C174" s="77"/>
      <c r="D174" s="52" t="s">
        <v>1200</v>
      </c>
      <c r="E174" s="29" t="s">
        <v>1020</v>
      </c>
      <c r="F174" s="14" t="s">
        <v>1201</v>
      </c>
    </row>
    <row r="175" spans="1:6" ht="19" customHeight="1" x14ac:dyDescent="0.3">
      <c r="A175" s="29">
        <v>217</v>
      </c>
      <c r="B175" s="77"/>
      <c r="C175" s="77"/>
      <c r="D175" s="52" t="s">
        <v>1202</v>
      </c>
      <c r="E175" s="29" t="s">
        <v>1020</v>
      </c>
    </row>
    <row r="176" spans="1:6" ht="19" customHeight="1" x14ac:dyDescent="0.3">
      <c r="A176" s="29">
        <v>218</v>
      </c>
      <c r="B176" s="77"/>
      <c r="C176" s="77" t="s">
        <v>1203</v>
      </c>
      <c r="D176" s="52" t="s">
        <v>1204</v>
      </c>
      <c r="E176" s="29" t="s">
        <v>1020</v>
      </c>
      <c r="F176" s="14" t="s">
        <v>1205</v>
      </c>
    </row>
    <row r="177" spans="1:6" ht="19" customHeight="1" x14ac:dyDescent="0.3">
      <c r="A177" s="29">
        <v>219</v>
      </c>
      <c r="B177" s="77"/>
      <c r="C177" s="77"/>
      <c r="D177" s="52" t="s">
        <v>729</v>
      </c>
      <c r="E177" s="29" t="s">
        <v>729</v>
      </c>
      <c r="F177" s="14" t="s">
        <v>1206</v>
      </c>
    </row>
    <row r="178" spans="1:6" ht="19" customHeight="1" x14ac:dyDescent="0.3">
      <c r="A178" s="29">
        <v>220</v>
      </c>
      <c r="B178" s="77"/>
      <c r="C178" s="77"/>
      <c r="D178" s="52" t="s">
        <v>1207</v>
      </c>
      <c r="E178" s="29" t="s">
        <v>1020</v>
      </c>
      <c r="F178" s="14" t="s">
        <v>1208</v>
      </c>
    </row>
    <row r="179" spans="1:6" ht="19" customHeight="1" x14ac:dyDescent="0.3">
      <c r="A179" s="29">
        <v>221</v>
      </c>
      <c r="B179" s="77"/>
      <c r="C179" s="77"/>
      <c r="D179" s="52" t="s">
        <v>1209</v>
      </c>
      <c r="E179" s="29" t="s">
        <v>1020</v>
      </c>
      <c r="F179" s="14" t="s">
        <v>1210</v>
      </c>
    </row>
    <row r="180" spans="1:6" ht="19" customHeight="1" x14ac:dyDescent="0.3">
      <c r="A180" s="29">
        <v>222</v>
      </c>
      <c r="B180" s="77"/>
      <c r="C180" s="77"/>
      <c r="D180" s="52" t="s">
        <v>1211</v>
      </c>
      <c r="E180" s="29" t="s">
        <v>1020</v>
      </c>
      <c r="F180" s="14" t="s">
        <v>1212</v>
      </c>
    </row>
    <row r="181" spans="1:6" ht="25" customHeight="1" x14ac:dyDescent="0.3">
      <c r="A181" s="29">
        <v>223</v>
      </c>
      <c r="B181" s="77"/>
      <c r="C181" s="77" t="s">
        <v>725</v>
      </c>
      <c r="D181" s="29" t="s">
        <v>725</v>
      </c>
      <c r="E181" s="29" t="s">
        <v>725</v>
      </c>
      <c r="F181" s="14" t="s">
        <v>1213</v>
      </c>
    </row>
    <row r="182" spans="1:6" ht="19" customHeight="1" x14ac:dyDescent="0.3">
      <c r="A182" s="29">
        <v>224</v>
      </c>
      <c r="B182" s="77"/>
      <c r="C182" s="77"/>
      <c r="D182" s="29" t="s">
        <v>1214</v>
      </c>
      <c r="E182" s="29" t="s">
        <v>1020</v>
      </c>
      <c r="F182" s="14" t="s">
        <v>1215</v>
      </c>
    </row>
    <row r="183" spans="1:6" ht="19" customHeight="1" x14ac:dyDescent="0.3">
      <c r="A183" s="29">
        <v>225</v>
      </c>
      <c r="B183" s="77" t="s">
        <v>118</v>
      </c>
      <c r="C183" s="77" t="s">
        <v>1216</v>
      </c>
      <c r="D183" s="52" t="s">
        <v>560</v>
      </c>
      <c r="E183" s="29" t="s">
        <v>560</v>
      </c>
      <c r="F183" s="14" t="s">
        <v>1217</v>
      </c>
    </row>
    <row r="184" spans="1:6" ht="19" customHeight="1" x14ac:dyDescent="0.3">
      <c r="A184" s="29">
        <v>226</v>
      </c>
      <c r="B184" s="77"/>
      <c r="C184" s="77"/>
      <c r="D184" s="52" t="s">
        <v>556</v>
      </c>
      <c r="E184" s="29" t="s">
        <v>556</v>
      </c>
      <c r="F184" s="14" t="s">
        <v>1217</v>
      </c>
    </row>
    <row r="185" spans="1:6" ht="19" customHeight="1" x14ac:dyDescent="0.3">
      <c r="A185" s="29">
        <v>227</v>
      </c>
      <c r="B185" s="77"/>
      <c r="C185" s="77"/>
      <c r="D185" s="52" t="s">
        <v>1218</v>
      </c>
      <c r="E185" s="29" t="s">
        <v>1020</v>
      </c>
      <c r="F185" s="14" t="s">
        <v>1217</v>
      </c>
    </row>
    <row r="186" spans="1:6" ht="19" customHeight="1" x14ac:dyDescent="0.3">
      <c r="A186" s="29">
        <v>228</v>
      </c>
      <c r="B186" s="77"/>
      <c r="C186" s="77"/>
      <c r="D186" s="52" t="s">
        <v>950</v>
      </c>
      <c r="E186" s="29" t="s">
        <v>1020</v>
      </c>
      <c r="F186" s="14" t="s">
        <v>1217</v>
      </c>
    </row>
    <row r="187" spans="1:6" ht="19" customHeight="1" x14ac:dyDescent="0.3">
      <c r="A187" s="29">
        <v>229</v>
      </c>
      <c r="B187" s="77"/>
      <c r="C187" s="77" t="s">
        <v>1219</v>
      </c>
      <c r="D187" s="52" t="s">
        <v>1220</v>
      </c>
      <c r="E187" s="29" t="s">
        <v>1020</v>
      </c>
      <c r="F187" s="14"/>
    </row>
    <row r="188" spans="1:6" ht="19" customHeight="1" x14ac:dyDescent="0.3">
      <c r="A188" s="29">
        <v>230</v>
      </c>
      <c r="B188" s="77"/>
      <c r="C188" s="77"/>
      <c r="D188" s="52" t="s">
        <v>143</v>
      </c>
      <c r="E188" s="29" t="s">
        <v>1020</v>
      </c>
      <c r="F188" s="14"/>
    </row>
    <row r="189" spans="1:6" ht="19" customHeight="1" x14ac:dyDescent="0.3">
      <c r="A189" s="29">
        <v>231</v>
      </c>
      <c r="B189" s="77"/>
      <c r="C189" s="77" t="s">
        <v>145</v>
      </c>
      <c r="D189" s="52" t="s">
        <v>145</v>
      </c>
      <c r="E189" s="29" t="s">
        <v>1020</v>
      </c>
      <c r="F189" s="14"/>
    </row>
    <row r="190" spans="1:6" ht="19" customHeight="1" x14ac:dyDescent="0.3">
      <c r="A190" s="29">
        <v>232</v>
      </c>
      <c r="B190" s="77"/>
      <c r="C190" s="77"/>
      <c r="D190" s="52" t="s">
        <v>152</v>
      </c>
      <c r="E190" s="29" t="s">
        <v>1020</v>
      </c>
      <c r="F190" s="14"/>
    </row>
    <row r="191" spans="1:6" ht="19" customHeight="1" x14ac:dyDescent="0.3">
      <c r="A191" s="29">
        <v>233</v>
      </c>
      <c r="B191" s="77"/>
      <c r="C191" s="77"/>
      <c r="D191" s="52" t="s">
        <v>146</v>
      </c>
      <c r="E191" s="29" t="s">
        <v>1020</v>
      </c>
      <c r="F191" s="14"/>
    </row>
    <row r="192" spans="1:6" ht="19" customHeight="1" x14ac:dyDescent="0.3">
      <c r="A192" s="29">
        <v>234</v>
      </c>
      <c r="B192" s="77"/>
      <c r="C192" s="77"/>
      <c r="D192" s="52" t="s">
        <v>149</v>
      </c>
      <c r="E192" s="29" t="s">
        <v>1020</v>
      </c>
      <c r="F192" s="14"/>
    </row>
    <row r="193" spans="1:6" ht="19" customHeight="1" x14ac:dyDescent="0.3">
      <c r="A193" s="29">
        <v>235</v>
      </c>
      <c r="B193" s="77"/>
      <c r="C193" s="77"/>
      <c r="D193" s="52" t="s">
        <v>148</v>
      </c>
      <c r="E193" s="29" t="s">
        <v>1020</v>
      </c>
      <c r="F193" s="14"/>
    </row>
    <row r="194" spans="1:6" ht="19" customHeight="1" x14ac:dyDescent="0.3">
      <c r="A194" s="29">
        <v>236</v>
      </c>
      <c r="B194" s="77"/>
      <c r="C194" s="77" t="s">
        <v>153</v>
      </c>
      <c r="D194" s="52" t="s">
        <v>968</v>
      </c>
      <c r="E194" s="29" t="s">
        <v>968</v>
      </c>
      <c r="F194" s="14"/>
    </row>
    <row r="195" spans="1:6" ht="19" customHeight="1" x14ac:dyDescent="0.3">
      <c r="A195" s="29">
        <v>237</v>
      </c>
      <c r="B195" s="77"/>
      <c r="C195" s="77"/>
      <c r="D195" s="52" t="s">
        <v>735</v>
      </c>
      <c r="E195" s="29" t="s">
        <v>735</v>
      </c>
      <c r="F195" s="14"/>
    </row>
    <row r="196" spans="1:6" ht="19" customHeight="1" x14ac:dyDescent="0.3">
      <c r="A196" s="29">
        <v>238</v>
      </c>
      <c r="B196" s="77"/>
      <c r="C196" s="77"/>
      <c r="D196" s="52" t="s">
        <v>970</v>
      </c>
      <c r="E196" s="29" t="s">
        <v>970</v>
      </c>
      <c r="F196" s="14"/>
    </row>
    <row r="197" spans="1:6" ht="19" customHeight="1" x14ac:dyDescent="0.3">
      <c r="A197" s="29">
        <v>239</v>
      </c>
      <c r="B197" s="77"/>
      <c r="C197" s="77"/>
      <c r="D197" s="52" t="s">
        <v>1221</v>
      </c>
      <c r="E197" s="29" t="s">
        <v>1020</v>
      </c>
      <c r="F197" s="14"/>
    </row>
    <row r="198" spans="1:6" ht="19" customHeight="1" x14ac:dyDescent="0.3">
      <c r="A198" s="29">
        <v>240</v>
      </c>
      <c r="B198" s="77"/>
      <c r="C198" s="77"/>
      <c r="D198" s="52" t="s">
        <v>971</v>
      </c>
      <c r="E198" s="29" t="s">
        <v>971</v>
      </c>
      <c r="F198" s="14"/>
    </row>
    <row r="199" spans="1:6" ht="19" customHeight="1" x14ac:dyDescent="0.3">
      <c r="A199" s="29">
        <v>241</v>
      </c>
      <c r="B199" s="77"/>
      <c r="C199" s="77"/>
      <c r="D199" s="52" t="s">
        <v>1222</v>
      </c>
      <c r="E199" s="29" t="s">
        <v>1020</v>
      </c>
      <c r="F199" s="14"/>
    </row>
    <row r="200" spans="1:6" ht="19" customHeight="1" x14ac:dyDescent="0.3">
      <c r="A200" s="29">
        <v>242</v>
      </c>
      <c r="B200" s="77"/>
      <c r="C200" s="77"/>
      <c r="D200" s="52" t="s">
        <v>1223</v>
      </c>
      <c r="E200" s="29" t="s">
        <v>1020</v>
      </c>
      <c r="F200" s="14"/>
    </row>
    <row r="201" spans="1:6" ht="19" customHeight="1" x14ac:dyDescent="0.3">
      <c r="A201" s="29">
        <v>243</v>
      </c>
      <c r="B201" s="77"/>
      <c r="C201" s="77"/>
      <c r="D201" s="52" t="s">
        <v>1224</v>
      </c>
      <c r="E201" s="29" t="s">
        <v>1020</v>
      </c>
      <c r="F201" s="14"/>
    </row>
    <row r="202" spans="1:6" ht="19" customHeight="1" x14ac:dyDescent="0.3">
      <c r="A202" s="29">
        <v>244</v>
      </c>
      <c r="B202" s="77"/>
      <c r="C202" s="77" t="s">
        <v>1225</v>
      </c>
      <c r="D202" s="52" t="s">
        <v>1225</v>
      </c>
      <c r="E202" s="29" t="s">
        <v>1020</v>
      </c>
      <c r="F202" s="14"/>
    </row>
    <row r="203" spans="1:6" ht="19" customHeight="1" x14ac:dyDescent="0.3">
      <c r="A203" s="29">
        <v>245</v>
      </c>
      <c r="B203" s="77"/>
      <c r="C203" s="77"/>
      <c r="D203" s="52" t="s">
        <v>1226</v>
      </c>
      <c r="E203" s="29" t="s">
        <v>1020</v>
      </c>
      <c r="F203" s="14"/>
    </row>
    <row r="204" spans="1:6" ht="19" customHeight="1" x14ac:dyDescent="0.3">
      <c r="A204" s="29">
        <v>246</v>
      </c>
      <c r="B204" s="77"/>
      <c r="C204" s="77"/>
      <c r="D204" s="52" t="s">
        <v>1227</v>
      </c>
      <c r="E204" s="29" t="s">
        <v>1020</v>
      </c>
      <c r="F204" s="14"/>
    </row>
    <row r="205" spans="1:6" ht="19" customHeight="1" x14ac:dyDescent="0.3">
      <c r="A205" s="29">
        <v>247</v>
      </c>
      <c r="B205" s="77"/>
      <c r="C205" s="77"/>
      <c r="D205" s="52" t="s">
        <v>1228</v>
      </c>
      <c r="E205" s="29" t="s">
        <v>1020</v>
      </c>
      <c r="F205" s="14"/>
    </row>
    <row r="206" spans="1:6" ht="19" customHeight="1" x14ac:dyDescent="0.3">
      <c r="A206" s="29">
        <v>248</v>
      </c>
      <c r="B206" s="77"/>
      <c r="C206" s="77" t="s">
        <v>121</v>
      </c>
      <c r="D206" s="52" t="s">
        <v>122</v>
      </c>
      <c r="E206" s="29" t="s">
        <v>1020</v>
      </c>
    </row>
    <row r="207" spans="1:6" ht="19" customHeight="1" x14ac:dyDescent="0.3">
      <c r="A207" s="29">
        <v>249</v>
      </c>
      <c r="B207" s="77"/>
      <c r="C207" s="77"/>
      <c r="D207" s="52" t="s">
        <v>121</v>
      </c>
      <c r="E207" s="29" t="s">
        <v>1020</v>
      </c>
    </row>
    <row r="208" spans="1:6" ht="19" customHeight="1" x14ac:dyDescent="0.3">
      <c r="A208" s="29">
        <v>250</v>
      </c>
      <c r="B208" s="77"/>
      <c r="C208" s="77"/>
      <c r="D208" s="52" t="s">
        <v>138</v>
      </c>
      <c r="E208" s="29" t="s">
        <v>1020</v>
      </c>
    </row>
    <row r="209" spans="1:6" ht="19" customHeight="1" x14ac:dyDescent="0.3">
      <c r="A209" s="29">
        <v>251</v>
      </c>
      <c r="B209" s="77"/>
      <c r="C209" s="77"/>
      <c r="D209" s="52" t="s">
        <v>139</v>
      </c>
      <c r="E209" s="29" t="s">
        <v>1020</v>
      </c>
    </row>
    <row r="210" spans="1:6" ht="19" customHeight="1" x14ac:dyDescent="0.3">
      <c r="A210" s="29">
        <v>252</v>
      </c>
      <c r="B210" s="77"/>
      <c r="C210" s="77"/>
      <c r="D210" s="52" t="s">
        <v>140</v>
      </c>
      <c r="E210" s="29" t="s">
        <v>1020</v>
      </c>
    </row>
    <row r="211" spans="1:6" ht="19" customHeight="1" x14ac:dyDescent="0.3">
      <c r="A211" s="29">
        <v>253</v>
      </c>
      <c r="B211" s="77"/>
      <c r="C211" s="77" t="s">
        <v>1229</v>
      </c>
      <c r="D211" s="52" t="s">
        <v>566</v>
      </c>
      <c r="E211" s="29" t="s">
        <v>1020</v>
      </c>
    </row>
    <row r="212" spans="1:6" ht="19" customHeight="1" x14ac:dyDescent="0.3">
      <c r="A212" s="29">
        <v>254</v>
      </c>
      <c r="B212" s="77"/>
      <c r="C212" s="77"/>
      <c r="D212" s="52" t="s">
        <v>134</v>
      </c>
      <c r="E212" s="29" t="s">
        <v>1020</v>
      </c>
    </row>
    <row r="213" spans="1:6" ht="19" customHeight="1" x14ac:dyDescent="0.3">
      <c r="A213" s="29">
        <v>255</v>
      </c>
      <c r="B213" s="77"/>
      <c r="C213" s="77"/>
      <c r="D213" s="52" t="s">
        <v>124</v>
      </c>
      <c r="E213" s="29" t="s">
        <v>1020</v>
      </c>
    </row>
    <row r="214" spans="1:6" ht="19" customHeight="1" x14ac:dyDescent="0.3">
      <c r="A214" s="29">
        <v>256</v>
      </c>
      <c r="B214" s="77"/>
      <c r="C214" s="77"/>
      <c r="D214" s="52" t="s">
        <v>130</v>
      </c>
      <c r="E214" s="29" t="s">
        <v>1020</v>
      </c>
    </row>
    <row r="215" spans="1:6" ht="19" customHeight="1" x14ac:dyDescent="0.3">
      <c r="A215" s="29">
        <v>257</v>
      </c>
      <c r="B215" s="77"/>
      <c r="C215" s="77"/>
      <c r="D215" s="52" t="s">
        <v>132</v>
      </c>
      <c r="E215" s="29" t="s">
        <v>1020</v>
      </c>
    </row>
    <row r="216" spans="1:6" ht="19" customHeight="1" x14ac:dyDescent="0.3">
      <c r="A216" s="29">
        <v>258</v>
      </c>
      <c r="B216" s="77"/>
      <c r="C216" s="77"/>
      <c r="D216" s="52" t="s">
        <v>117</v>
      </c>
      <c r="E216" s="29" t="s">
        <v>1020</v>
      </c>
    </row>
    <row r="217" spans="1:6" ht="19" customHeight="1" x14ac:dyDescent="0.3">
      <c r="A217" s="29">
        <v>259</v>
      </c>
      <c r="B217" s="77"/>
      <c r="C217" s="77"/>
      <c r="D217" s="52" t="s">
        <v>1230</v>
      </c>
      <c r="E217" s="29" t="s">
        <v>1020</v>
      </c>
    </row>
    <row r="218" spans="1:6" ht="19" customHeight="1" x14ac:dyDescent="0.3">
      <c r="A218" s="29">
        <v>260</v>
      </c>
      <c r="B218" s="77"/>
      <c r="C218" s="77"/>
      <c r="D218" s="52" t="s">
        <v>1231</v>
      </c>
      <c r="E218" s="29" t="s">
        <v>1020</v>
      </c>
    </row>
    <row r="219" spans="1:6" ht="19" customHeight="1" x14ac:dyDescent="0.3">
      <c r="A219" s="29">
        <v>261</v>
      </c>
      <c r="B219" s="77"/>
      <c r="C219" s="77"/>
      <c r="D219" s="52" t="s">
        <v>126</v>
      </c>
      <c r="E219" s="29" t="s">
        <v>1020</v>
      </c>
    </row>
    <row r="220" spans="1:6" ht="19" customHeight="1" x14ac:dyDescent="0.3">
      <c r="A220" s="29">
        <v>262</v>
      </c>
      <c r="B220" s="77" t="s">
        <v>75</v>
      </c>
      <c r="C220" s="77" t="s">
        <v>1232</v>
      </c>
      <c r="D220" s="52" t="s">
        <v>530</v>
      </c>
      <c r="E220" s="29" t="s">
        <v>530</v>
      </c>
      <c r="F220" s="14" t="s">
        <v>1233</v>
      </c>
    </row>
    <row r="221" spans="1:6" ht="19" customHeight="1" x14ac:dyDescent="0.3">
      <c r="A221" s="29">
        <v>263</v>
      </c>
      <c r="B221" s="77"/>
      <c r="C221" s="77"/>
      <c r="D221" s="52" t="s">
        <v>1234</v>
      </c>
      <c r="E221" s="29" t="s">
        <v>1020</v>
      </c>
      <c r="F221" s="14" t="s">
        <v>1235</v>
      </c>
    </row>
    <row r="222" spans="1:6" ht="19" customHeight="1" x14ac:dyDescent="0.3">
      <c r="A222" s="29">
        <v>264</v>
      </c>
      <c r="B222" s="77"/>
      <c r="C222" s="77"/>
      <c r="D222" s="52" t="s">
        <v>517</v>
      </c>
      <c r="E222" s="29" t="s">
        <v>517</v>
      </c>
      <c r="F222" s="14" t="s">
        <v>1236</v>
      </c>
    </row>
    <row r="223" spans="1:6" ht="19" customHeight="1" x14ac:dyDescent="0.3">
      <c r="A223" s="29">
        <v>265</v>
      </c>
      <c r="B223" s="77"/>
      <c r="C223" s="77"/>
      <c r="D223" s="52" t="s">
        <v>519</v>
      </c>
      <c r="E223" s="29" t="s">
        <v>519</v>
      </c>
      <c r="F223" s="14" t="s">
        <v>1237</v>
      </c>
    </row>
    <row r="224" spans="1:6" ht="19" customHeight="1" x14ac:dyDescent="0.3">
      <c r="A224" s="29">
        <v>266</v>
      </c>
      <c r="B224" s="77"/>
      <c r="C224" s="77"/>
      <c r="D224" s="52" t="s">
        <v>534</v>
      </c>
      <c r="E224" s="29" t="s">
        <v>534</v>
      </c>
      <c r="F224" s="14" t="s">
        <v>1238</v>
      </c>
    </row>
    <row r="225" spans="1:6" ht="19" customHeight="1" x14ac:dyDescent="0.3">
      <c r="A225" s="29">
        <v>267</v>
      </c>
      <c r="B225" s="77"/>
      <c r="C225" s="77"/>
      <c r="D225" s="52" t="s">
        <v>536</v>
      </c>
      <c r="E225" s="29" t="s">
        <v>536</v>
      </c>
      <c r="F225" s="14" t="s">
        <v>1239</v>
      </c>
    </row>
    <row r="226" spans="1:6" ht="19" customHeight="1" x14ac:dyDescent="0.3">
      <c r="A226" s="29">
        <v>268</v>
      </c>
      <c r="B226" s="77"/>
      <c r="C226" s="77"/>
      <c r="D226" s="52" t="s">
        <v>97</v>
      </c>
      <c r="E226" s="29" t="s">
        <v>1020</v>
      </c>
      <c r="F226" s="14"/>
    </row>
    <row r="227" spans="1:6" ht="19" customHeight="1" x14ac:dyDescent="0.3">
      <c r="A227" s="29">
        <v>269</v>
      </c>
      <c r="B227" s="77"/>
      <c r="C227" s="77"/>
      <c r="D227" s="52" t="s">
        <v>523</v>
      </c>
      <c r="E227" s="29" t="s">
        <v>523</v>
      </c>
      <c r="F227" s="14"/>
    </row>
    <row r="228" spans="1:6" ht="19" customHeight="1" x14ac:dyDescent="0.3">
      <c r="A228" s="29">
        <v>270</v>
      </c>
      <c r="B228" s="77"/>
      <c r="C228" s="77"/>
      <c r="D228" s="52" t="s">
        <v>539</v>
      </c>
      <c r="E228" s="29" t="s">
        <v>539</v>
      </c>
      <c r="F228" s="14" t="s">
        <v>1240</v>
      </c>
    </row>
    <row r="229" spans="1:6" ht="19" customHeight="1" x14ac:dyDescent="0.3">
      <c r="A229" s="29">
        <v>271</v>
      </c>
      <c r="B229" s="77"/>
      <c r="C229" s="77"/>
      <c r="D229" s="52" t="s">
        <v>542</v>
      </c>
      <c r="E229" s="29" t="s">
        <v>542</v>
      </c>
      <c r="F229" s="14" t="s">
        <v>1241</v>
      </c>
    </row>
    <row r="230" spans="1:6" ht="19" customHeight="1" x14ac:dyDescent="0.3">
      <c r="A230" s="29">
        <v>272</v>
      </c>
      <c r="B230" s="77"/>
      <c r="C230" s="77"/>
      <c r="D230" s="52" t="s">
        <v>1242</v>
      </c>
      <c r="E230" s="29" t="s">
        <v>1020</v>
      </c>
      <c r="F230" s="14" t="s">
        <v>1243</v>
      </c>
    </row>
    <row r="231" spans="1:6" ht="19" customHeight="1" x14ac:dyDescent="0.3">
      <c r="A231" s="29">
        <v>273</v>
      </c>
      <c r="B231" s="77"/>
      <c r="C231" s="77" t="s">
        <v>1244</v>
      </c>
      <c r="D231" s="52" t="s">
        <v>1245</v>
      </c>
      <c r="E231" s="29" t="s">
        <v>1020</v>
      </c>
      <c r="F231" s="14" t="s">
        <v>1246</v>
      </c>
    </row>
    <row r="232" spans="1:6" ht="38" customHeight="1" x14ac:dyDescent="0.3">
      <c r="A232" s="29">
        <v>274</v>
      </c>
      <c r="B232" s="77"/>
      <c r="C232" s="77"/>
      <c r="D232" s="52" t="s">
        <v>1247</v>
      </c>
      <c r="E232" s="29" t="s">
        <v>1020</v>
      </c>
      <c r="F232" s="14" t="s">
        <v>1248</v>
      </c>
    </row>
    <row r="233" spans="1:6" ht="19" customHeight="1" x14ac:dyDescent="0.3">
      <c r="A233" s="29">
        <v>275</v>
      </c>
      <c r="B233" s="77"/>
      <c r="C233" s="77"/>
      <c r="D233" s="52" t="s">
        <v>1249</v>
      </c>
      <c r="E233" s="29" t="s">
        <v>1020</v>
      </c>
      <c r="F233" s="14" t="s">
        <v>1250</v>
      </c>
    </row>
    <row r="234" spans="1:6" ht="19" customHeight="1" x14ac:dyDescent="0.3">
      <c r="A234" s="29">
        <v>276</v>
      </c>
      <c r="B234" s="77"/>
      <c r="C234" s="77"/>
      <c r="D234" s="52" t="s">
        <v>1251</v>
      </c>
      <c r="E234" s="29" t="s">
        <v>1020</v>
      </c>
      <c r="F234" s="14" t="s">
        <v>1252</v>
      </c>
    </row>
    <row r="235" spans="1:6" ht="19" customHeight="1" x14ac:dyDescent="0.3">
      <c r="A235" s="29">
        <v>277</v>
      </c>
      <c r="B235" s="77"/>
      <c r="C235" s="77"/>
      <c r="D235" s="52" t="s">
        <v>82</v>
      </c>
      <c r="E235" s="29" t="s">
        <v>1020</v>
      </c>
      <c r="F235" s="14" t="s">
        <v>1253</v>
      </c>
    </row>
    <row r="236" spans="1:6" ht="19" customHeight="1" x14ac:dyDescent="0.3">
      <c r="A236" s="29">
        <v>278</v>
      </c>
      <c r="B236" s="77"/>
      <c r="C236" s="77" t="s">
        <v>1254</v>
      </c>
      <c r="D236" s="52" t="s">
        <v>1255</v>
      </c>
      <c r="E236" s="29" t="s">
        <v>1020</v>
      </c>
      <c r="F236" s="14"/>
    </row>
    <row r="237" spans="1:6" ht="19" customHeight="1" x14ac:dyDescent="0.3">
      <c r="A237" s="29">
        <v>279</v>
      </c>
      <c r="B237" s="77"/>
      <c r="C237" s="77"/>
      <c r="D237" s="52" t="s">
        <v>1256</v>
      </c>
      <c r="E237" s="29" t="s">
        <v>1020</v>
      </c>
      <c r="F237" s="14"/>
    </row>
    <row r="238" spans="1:6" ht="19" customHeight="1" x14ac:dyDescent="0.3">
      <c r="A238" s="29">
        <v>280</v>
      </c>
      <c r="B238" s="77"/>
      <c r="C238" s="77" t="s">
        <v>1257</v>
      </c>
      <c r="D238" s="52" t="s">
        <v>1258</v>
      </c>
      <c r="E238" s="29" t="s">
        <v>1020</v>
      </c>
      <c r="F238" s="14"/>
    </row>
    <row r="239" spans="1:6" ht="19" customHeight="1" x14ac:dyDescent="0.3">
      <c r="A239" s="29">
        <v>281</v>
      </c>
      <c r="B239" s="77"/>
      <c r="C239" s="77"/>
      <c r="D239" s="52" t="s">
        <v>1259</v>
      </c>
      <c r="E239" s="29" t="s">
        <v>1020</v>
      </c>
      <c r="F239" s="14"/>
    </row>
    <row r="240" spans="1:6" ht="19" customHeight="1" x14ac:dyDescent="0.3">
      <c r="A240" s="29">
        <v>282</v>
      </c>
      <c r="B240" s="77"/>
      <c r="C240" s="77"/>
      <c r="D240" s="52" t="s">
        <v>1260</v>
      </c>
      <c r="E240" s="29" t="s">
        <v>1020</v>
      </c>
      <c r="F240" s="14"/>
    </row>
    <row r="241" spans="1:6" ht="19" customHeight="1" x14ac:dyDescent="0.3">
      <c r="A241" s="29">
        <v>283</v>
      </c>
      <c r="B241" s="77"/>
      <c r="C241" s="77"/>
      <c r="D241" s="52" t="s">
        <v>95</v>
      </c>
      <c r="E241" s="29" t="s">
        <v>1020</v>
      </c>
      <c r="F241" s="14"/>
    </row>
    <row r="242" spans="1:6" ht="19" customHeight="1" x14ac:dyDescent="0.3">
      <c r="A242" s="29">
        <v>284</v>
      </c>
      <c r="B242" s="77"/>
      <c r="C242" s="77"/>
      <c r="D242" s="52" t="s">
        <v>109</v>
      </c>
      <c r="E242" s="29" t="s">
        <v>1020</v>
      </c>
      <c r="F242" s="14"/>
    </row>
    <row r="243" spans="1:6" ht="19" customHeight="1" x14ac:dyDescent="0.3">
      <c r="A243" s="29">
        <v>285</v>
      </c>
      <c r="B243" s="77"/>
      <c r="C243" s="77"/>
      <c r="D243" s="52" t="s">
        <v>74</v>
      </c>
      <c r="E243" s="29" t="s">
        <v>1020</v>
      </c>
      <c r="F243" s="14"/>
    </row>
    <row r="244" spans="1:6" ht="19" customHeight="1" x14ac:dyDescent="0.3">
      <c r="A244" s="29">
        <v>286</v>
      </c>
      <c r="B244" s="77"/>
      <c r="C244" s="77" t="s">
        <v>1261</v>
      </c>
      <c r="D244" s="52" t="s">
        <v>103</v>
      </c>
      <c r="E244" s="29" t="s">
        <v>1020</v>
      </c>
      <c r="F244" s="14"/>
    </row>
    <row r="245" spans="1:6" ht="19" customHeight="1" x14ac:dyDescent="0.3">
      <c r="A245" s="29">
        <v>287</v>
      </c>
      <c r="B245" s="77"/>
      <c r="C245" s="77"/>
      <c r="D245" s="52" t="s">
        <v>1262</v>
      </c>
      <c r="E245" s="29" t="s">
        <v>1020</v>
      </c>
      <c r="F245" s="14"/>
    </row>
    <row r="246" spans="1:6" ht="19" customHeight="1" x14ac:dyDescent="0.3">
      <c r="A246" s="29">
        <v>288</v>
      </c>
      <c r="B246" s="77"/>
      <c r="C246" s="77"/>
      <c r="D246" s="52" t="s">
        <v>1263</v>
      </c>
      <c r="E246" s="29" t="s">
        <v>1020</v>
      </c>
      <c r="F246" s="14"/>
    </row>
    <row r="247" spans="1:6" ht="19" customHeight="1" x14ac:dyDescent="0.3">
      <c r="A247" s="29">
        <v>289</v>
      </c>
      <c r="B247" s="77"/>
      <c r="C247" s="77"/>
      <c r="D247" s="52" t="s">
        <v>1264</v>
      </c>
      <c r="E247" s="29" t="s">
        <v>1020</v>
      </c>
      <c r="F247" s="14"/>
    </row>
    <row r="248" spans="1:6" ht="19" customHeight="1" x14ac:dyDescent="0.3">
      <c r="A248" s="29">
        <v>290</v>
      </c>
      <c r="B248" s="77"/>
      <c r="C248" s="77"/>
      <c r="D248" s="52" t="s">
        <v>1265</v>
      </c>
      <c r="E248" s="29" t="s">
        <v>1020</v>
      </c>
      <c r="F248" s="14"/>
    </row>
    <row r="249" spans="1:6" ht="19" customHeight="1" x14ac:dyDescent="0.3">
      <c r="A249" s="29">
        <v>291</v>
      </c>
      <c r="B249" s="77"/>
      <c r="C249" s="77"/>
      <c r="D249" s="52" t="s">
        <v>1266</v>
      </c>
      <c r="E249" s="29" t="s">
        <v>1020</v>
      </c>
      <c r="F249" s="14"/>
    </row>
    <row r="250" spans="1:6" ht="19" customHeight="1" x14ac:dyDescent="0.3">
      <c r="A250" s="29">
        <v>292</v>
      </c>
      <c r="B250" s="77"/>
      <c r="C250" s="77"/>
      <c r="D250" s="52" t="s">
        <v>87</v>
      </c>
      <c r="E250" s="29" t="s">
        <v>1020</v>
      </c>
      <c r="F250" s="14"/>
    </row>
    <row r="251" spans="1:6" ht="19" customHeight="1" x14ac:dyDescent="0.3">
      <c r="A251" s="29">
        <v>293</v>
      </c>
      <c r="B251" s="77"/>
      <c r="C251" s="77"/>
      <c r="D251" s="52" t="s">
        <v>92</v>
      </c>
      <c r="E251" s="29" t="s">
        <v>1020</v>
      </c>
      <c r="F251" s="14"/>
    </row>
    <row r="252" spans="1:6" ht="19" customHeight="1" x14ac:dyDescent="0.3">
      <c r="A252" s="29">
        <v>294</v>
      </c>
      <c r="B252" s="77" t="s">
        <v>996</v>
      </c>
      <c r="C252" s="77" t="s">
        <v>1267</v>
      </c>
      <c r="D252" s="52" t="s">
        <v>1000</v>
      </c>
      <c r="E252" s="29" t="s">
        <v>1000</v>
      </c>
      <c r="F252" s="14" t="s">
        <v>1268</v>
      </c>
    </row>
    <row r="253" spans="1:6" ht="19" customHeight="1" x14ac:dyDescent="0.3">
      <c r="A253" s="29">
        <v>295</v>
      </c>
      <c r="B253" s="77"/>
      <c r="C253" s="77"/>
      <c r="D253" s="52" t="s">
        <v>999</v>
      </c>
      <c r="E253" s="29" t="s">
        <v>999</v>
      </c>
      <c r="F253" s="14" t="s">
        <v>1268</v>
      </c>
    </row>
    <row r="254" spans="1:6" ht="19" customHeight="1" x14ac:dyDescent="0.3">
      <c r="A254" s="29">
        <v>296</v>
      </c>
      <c r="B254" s="77"/>
      <c r="C254" s="77"/>
      <c r="D254" s="52" t="s">
        <v>1001</v>
      </c>
      <c r="E254" s="29" t="s">
        <v>1001</v>
      </c>
      <c r="F254" s="14" t="s">
        <v>1268</v>
      </c>
    </row>
    <row r="255" spans="1:6" ht="19" customHeight="1" x14ac:dyDescent="0.3">
      <c r="A255" s="29">
        <v>297</v>
      </c>
      <c r="B255" s="77"/>
      <c r="C255" s="77"/>
      <c r="D255" s="52" t="s">
        <v>1269</v>
      </c>
      <c r="E255" s="29" t="s">
        <v>1020</v>
      </c>
      <c r="F255" s="14" t="s">
        <v>1268</v>
      </c>
    </row>
    <row r="256" spans="1:6" ht="25" customHeight="1" x14ac:dyDescent="0.3">
      <c r="A256" s="29">
        <v>298</v>
      </c>
      <c r="B256" s="77"/>
      <c r="C256" s="77"/>
      <c r="D256" s="52" t="s">
        <v>854</v>
      </c>
      <c r="E256" s="29" t="s">
        <v>854</v>
      </c>
      <c r="F256" s="14" t="s">
        <v>1268</v>
      </c>
    </row>
    <row r="257" spans="1:6" ht="19" customHeight="1" x14ac:dyDescent="0.3">
      <c r="A257" s="29">
        <v>299</v>
      </c>
      <c r="B257" s="77"/>
      <c r="C257" s="77"/>
      <c r="D257" s="52" t="s">
        <v>853</v>
      </c>
      <c r="E257" s="29" t="s">
        <v>853</v>
      </c>
      <c r="F257" s="14" t="s">
        <v>1270</v>
      </c>
    </row>
    <row r="258" spans="1:6" ht="19" customHeight="1" x14ac:dyDescent="0.3">
      <c r="A258" s="29">
        <v>300</v>
      </c>
      <c r="B258" s="77"/>
      <c r="C258" s="77" t="s">
        <v>1002</v>
      </c>
      <c r="D258" s="77" t="s">
        <v>1271</v>
      </c>
      <c r="E258" s="29" t="s">
        <v>1020</v>
      </c>
      <c r="F258" s="14" t="s">
        <v>1272</v>
      </c>
    </row>
    <row r="259" spans="1:6" ht="25" customHeight="1" x14ac:dyDescent="0.3">
      <c r="A259" s="29">
        <v>301</v>
      </c>
      <c r="B259" s="77"/>
      <c r="C259" s="77"/>
      <c r="D259" s="77"/>
      <c r="E259" s="29" t="s">
        <v>1020</v>
      </c>
      <c r="F259" s="14" t="s">
        <v>1273</v>
      </c>
    </row>
    <row r="260" spans="1:6" ht="19" customHeight="1" x14ac:dyDescent="0.3">
      <c r="A260" s="29">
        <v>302</v>
      </c>
      <c r="B260" s="77"/>
      <c r="C260" s="77"/>
      <c r="D260" s="29" t="s">
        <v>1274</v>
      </c>
      <c r="E260" s="29" t="s">
        <v>1020</v>
      </c>
    </row>
    <row r="261" spans="1:6" ht="19" customHeight="1" x14ac:dyDescent="0.3">
      <c r="A261" s="29">
        <v>303</v>
      </c>
      <c r="B261" s="77"/>
      <c r="C261" s="77"/>
      <c r="D261" s="29" t="s">
        <v>1275</v>
      </c>
      <c r="E261" s="29" t="s">
        <v>1020</v>
      </c>
    </row>
    <row r="262" spans="1:6" ht="19" customHeight="1" x14ac:dyDescent="0.3">
      <c r="A262" s="29">
        <v>304</v>
      </c>
      <c r="B262" s="77"/>
      <c r="C262" s="77"/>
      <c r="D262" s="77" t="s">
        <v>1276</v>
      </c>
      <c r="E262" s="29" t="s">
        <v>1020</v>
      </c>
      <c r="F262" s="14" t="s">
        <v>1277</v>
      </c>
    </row>
    <row r="263" spans="1:6" ht="25" customHeight="1" x14ac:dyDescent="0.3">
      <c r="A263" s="29">
        <v>305</v>
      </c>
      <c r="B263" s="77"/>
      <c r="C263" s="77"/>
      <c r="D263" s="77"/>
      <c r="E263" s="29" t="s">
        <v>1020</v>
      </c>
      <c r="F263" s="14" t="s">
        <v>1278</v>
      </c>
    </row>
    <row r="264" spans="1:6" ht="19" customHeight="1" x14ac:dyDescent="0.3">
      <c r="A264" s="29">
        <v>306</v>
      </c>
      <c r="B264" s="77"/>
      <c r="C264" s="77"/>
      <c r="D264" s="29" t="s">
        <v>1279</v>
      </c>
      <c r="E264" s="29" t="s">
        <v>1020</v>
      </c>
    </row>
    <row r="265" spans="1:6" ht="19" customHeight="1" x14ac:dyDescent="0.3">
      <c r="A265" s="29">
        <v>307</v>
      </c>
      <c r="B265" s="77"/>
      <c r="C265" s="77"/>
      <c r="D265" s="29" t="s">
        <v>1280</v>
      </c>
      <c r="E265" s="29" t="s">
        <v>1020</v>
      </c>
    </row>
    <row r="266" spans="1:6" ht="19" customHeight="1" x14ac:dyDescent="0.3">
      <c r="A266" s="29">
        <v>308</v>
      </c>
      <c r="B266" s="77"/>
      <c r="C266" s="77"/>
      <c r="D266" s="29" t="s">
        <v>1281</v>
      </c>
      <c r="E266" s="29" t="s">
        <v>1020</v>
      </c>
    </row>
    <row r="267" spans="1:6" ht="19" customHeight="1" x14ac:dyDescent="0.3">
      <c r="A267" s="29">
        <v>309</v>
      </c>
      <c r="B267" s="77"/>
      <c r="C267" s="77"/>
      <c r="D267" s="29" t="s">
        <v>1003</v>
      </c>
      <c r="E267" s="29" t="s">
        <v>1003</v>
      </c>
      <c r="F267" s="14" t="s">
        <v>1282</v>
      </c>
    </row>
    <row r="268" spans="1:6" ht="19" customHeight="1" x14ac:dyDescent="0.3">
      <c r="A268" s="29">
        <v>310</v>
      </c>
      <c r="B268" s="77"/>
      <c r="C268" s="77"/>
      <c r="D268" s="29" t="s">
        <v>1283</v>
      </c>
      <c r="E268" s="29" t="s">
        <v>1020</v>
      </c>
    </row>
    <row r="269" spans="1:6" ht="19" customHeight="1" x14ac:dyDescent="0.3">
      <c r="A269" s="29">
        <v>311</v>
      </c>
      <c r="B269" s="77"/>
      <c r="C269" s="77"/>
      <c r="D269" s="29" t="s">
        <v>1284</v>
      </c>
      <c r="E269" s="29" t="s">
        <v>1020</v>
      </c>
      <c r="F269" s="14" t="s">
        <v>1285</v>
      </c>
    </row>
    <row r="270" spans="1:6" ht="19" customHeight="1" x14ac:dyDescent="0.3">
      <c r="A270" s="29">
        <v>312</v>
      </c>
      <c r="B270" s="77"/>
      <c r="C270" s="77"/>
      <c r="D270" s="77" t="s">
        <v>1286</v>
      </c>
      <c r="E270" s="29" t="s">
        <v>1020</v>
      </c>
      <c r="F270" s="14" t="s">
        <v>849</v>
      </c>
    </row>
    <row r="271" spans="1:6" ht="25" customHeight="1" x14ac:dyDescent="0.3">
      <c r="A271" s="29">
        <v>313</v>
      </c>
      <c r="B271" s="77"/>
      <c r="C271" s="77"/>
      <c r="D271" s="77"/>
      <c r="E271" s="29" t="s">
        <v>1020</v>
      </c>
      <c r="F271" s="14" t="s">
        <v>673</v>
      </c>
    </row>
    <row r="272" spans="1:6" ht="25" customHeight="1" x14ac:dyDescent="0.3">
      <c r="A272" s="29">
        <v>314</v>
      </c>
      <c r="B272" s="77"/>
      <c r="C272" s="77"/>
      <c r="D272" s="77"/>
      <c r="E272" s="29" t="s">
        <v>1020</v>
      </c>
      <c r="F272" s="14" t="s">
        <v>1287</v>
      </c>
    </row>
    <row r="273" spans="1:6" ht="19" customHeight="1" x14ac:dyDescent="0.3">
      <c r="A273" s="29">
        <v>315</v>
      </c>
      <c r="B273" s="77"/>
      <c r="C273" s="77"/>
      <c r="D273" s="29" t="s">
        <v>1288</v>
      </c>
      <c r="E273" s="29" t="s">
        <v>1020</v>
      </c>
    </row>
    <row r="274" spans="1:6" ht="19" customHeight="1" x14ac:dyDescent="0.3">
      <c r="A274" s="29">
        <v>316</v>
      </c>
      <c r="B274" s="77"/>
      <c r="C274" s="77"/>
      <c r="D274" s="29" t="s">
        <v>849</v>
      </c>
      <c r="E274" s="29" t="s">
        <v>849</v>
      </c>
      <c r="F274" s="14" t="s">
        <v>1289</v>
      </c>
    </row>
    <row r="275" spans="1:6" ht="19" customHeight="1" x14ac:dyDescent="0.3">
      <c r="A275" s="29">
        <v>317</v>
      </c>
      <c r="B275" s="77"/>
      <c r="C275" s="77"/>
      <c r="D275" s="29" t="s">
        <v>1290</v>
      </c>
      <c r="E275" s="29" t="s">
        <v>1020</v>
      </c>
      <c r="F275" s="14" t="s">
        <v>1059</v>
      </c>
    </row>
    <row r="276" spans="1:6" ht="19" customHeight="1" x14ac:dyDescent="0.3">
      <c r="A276" s="29">
        <v>318</v>
      </c>
      <c r="B276" s="77"/>
      <c r="C276" s="77"/>
      <c r="D276" s="29" t="s">
        <v>850</v>
      </c>
      <c r="E276" s="29" t="s">
        <v>850</v>
      </c>
      <c r="F276" s="14" t="s">
        <v>1291</v>
      </c>
    </row>
    <row r="277" spans="1:6" ht="19" customHeight="1" x14ac:dyDescent="0.3">
      <c r="A277" s="29">
        <v>319</v>
      </c>
      <c r="B277" s="77"/>
      <c r="C277" s="77"/>
      <c r="D277" s="29" t="s">
        <v>1292</v>
      </c>
      <c r="E277" s="29" t="s">
        <v>1020</v>
      </c>
    </row>
    <row r="278" spans="1:6" ht="19" customHeight="1" x14ac:dyDescent="0.3">
      <c r="A278" s="29">
        <v>320</v>
      </c>
      <c r="B278" s="77"/>
      <c r="C278" s="77" t="s">
        <v>1005</v>
      </c>
      <c r="D278" s="77" t="s">
        <v>863</v>
      </c>
      <c r="E278" s="29" t="s">
        <v>863</v>
      </c>
      <c r="F278" s="14" t="s">
        <v>1293</v>
      </c>
    </row>
    <row r="279" spans="1:6" ht="25" customHeight="1" x14ac:dyDescent="0.3">
      <c r="A279" s="29">
        <v>321</v>
      </c>
      <c r="B279" s="77"/>
      <c r="C279" s="77"/>
      <c r="D279" s="77"/>
      <c r="E279" s="29" t="s">
        <v>1020</v>
      </c>
      <c r="F279" s="14" t="s">
        <v>1294</v>
      </c>
    </row>
    <row r="280" spans="1:6" ht="19" customHeight="1" x14ac:dyDescent="0.3">
      <c r="A280" s="29">
        <v>322</v>
      </c>
      <c r="B280" s="77"/>
      <c r="C280" s="77"/>
      <c r="D280" s="29" t="s">
        <v>1295</v>
      </c>
      <c r="E280" s="29" t="s">
        <v>1020</v>
      </c>
    </row>
    <row r="281" spans="1:6" ht="19" customHeight="1" x14ac:dyDescent="0.3">
      <c r="A281" s="29">
        <v>323</v>
      </c>
      <c r="B281" s="77"/>
      <c r="C281" s="77" t="s">
        <v>1004</v>
      </c>
      <c r="D281" s="77" t="s">
        <v>859</v>
      </c>
      <c r="E281" s="29" t="s">
        <v>859</v>
      </c>
      <c r="F281" s="14" t="s">
        <v>1296</v>
      </c>
    </row>
    <row r="282" spans="1:6" ht="25" customHeight="1" x14ac:dyDescent="0.3">
      <c r="A282" s="29">
        <v>324</v>
      </c>
      <c r="B282" s="77"/>
      <c r="C282" s="77"/>
      <c r="D282" s="77"/>
      <c r="E282" s="29" t="s">
        <v>1020</v>
      </c>
      <c r="F282" s="14" t="s">
        <v>1059</v>
      </c>
    </row>
    <row r="283" spans="1:6" ht="19" customHeight="1" x14ac:dyDescent="0.3">
      <c r="A283" s="29">
        <v>325</v>
      </c>
      <c r="B283" s="77"/>
      <c r="C283" s="77"/>
      <c r="D283" s="77" t="s">
        <v>861</v>
      </c>
      <c r="E283" s="29" t="s">
        <v>861</v>
      </c>
      <c r="F283" s="14" t="s">
        <v>1296</v>
      </c>
    </row>
    <row r="284" spans="1:6" ht="25" customHeight="1" x14ac:dyDescent="0.3">
      <c r="A284" s="29">
        <v>326</v>
      </c>
      <c r="B284" s="77"/>
      <c r="C284" s="77"/>
      <c r="D284" s="77"/>
      <c r="E284" s="29" t="s">
        <v>1020</v>
      </c>
      <c r="F284" s="14" t="s">
        <v>1059</v>
      </c>
    </row>
    <row r="285" spans="1:6" ht="19" customHeight="1" x14ac:dyDescent="0.3">
      <c r="A285" s="29">
        <v>327</v>
      </c>
      <c r="B285" s="77"/>
      <c r="C285" s="77" t="s">
        <v>1006</v>
      </c>
      <c r="D285" s="29" t="s">
        <v>1297</v>
      </c>
      <c r="E285" s="29" t="s">
        <v>1020</v>
      </c>
    </row>
    <row r="286" spans="1:6" ht="19" customHeight="1" x14ac:dyDescent="0.3">
      <c r="A286" s="29">
        <v>328</v>
      </c>
      <c r="B286" s="77"/>
      <c r="C286" s="77"/>
      <c r="D286" s="29" t="s">
        <v>1298</v>
      </c>
      <c r="E286" s="29" t="s">
        <v>1020</v>
      </c>
    </row>
    <row r="287" spans="1:6" ht="19" customHeight="1" x14ac:dyDescent="0.3">
      <c r="A287" s="29">
        <v>329</v>
      </c>
      <c r="B287" s="77"/>
      <c r="C287" s="77"/>
      <c r="D287" s="29" t="s">
        <v>887</v>
      </c>
      <c r="E287" s="29" t="s">
        <v>887</v>
      </c>
      <c r="F287" s="14" t="s">
        <v>1050</v>
      </c>
    </row>
    <row r="288" spans="1:6" ht="19" customHeight="1" x14ac:dyDescent="0.3">
      <c r="A288" s="29">
        <v>330</v>
      </c>
      <c r="B288" s="77"/>
      <c r="C288" s="77"/>
      <c r="D288" s="29" t="s">
        <v>1299</v>
      </c>
      <c r="E288" s="29" t="s">
        <v>1020</v>
      </c>
    </row>
    <row r="289" spans="1:6" ht="25" customHeight="1" x14ac:dyDescent="0.3">
      <c r="A289" s="29">
        <v>331</v>
      </c>
      <c r="B289" s="77"/>
      <c r="C289" s="77"/>
      <c r="D289" s="77" t="s">
        <v>857</v>
      </c>
      <c r="E289" s="29" t="s">
        <v>857</v>
      </c>
      <c r="F289" s="14" t="s">
        <v>1293</v>
      </c>
    </row>
    <row r="290" spans="1:6" ht="19" customHeight="1" x14ac:dyDescent="0.3">
      <c r="A290" s="29">
        <v>332</v>
      </c>
      <c r="B290" s="77"/>
      <c r="C290" s="77"/>
      <c r="D290" s="77"/>
      <c r="E290" s="29" t="s">
        <v>1020</v>
      </c>
      <c r="F290" s="14" t="s">
        <v>1294</v>
      </c>
    </row>
    <row r="291" spans="1:6" ht="19" customHeight="1" x14ac:dyDescent="0.3">
      <c r="A291" s="29">
        <v>333</v>
      </c>
      <c r="B291" s="77"/>
      <c r="C291" s="77" t="s">
        <v>1008</v>
      </c>
      <c r="D291" s="52" t="s">
        <v>1300</v>
      </c>
      <c r="E291" s="29" t="s">
        <v>1020</v>
      </c>
      <c r="F291" s="14" t="s">
        <v>1050</v>
      </c>
    </row>
    <row r="292" spans="1:6" ht="19" customHeight="1" x14ac:dyDescent="0.3">
      <c r="A292" s="29">
        <v>334</v>
      </c>
      <c r="B292" s="77"/>
      <c r="C292" s="77"/>
      <c r="D292" s="52" t="s">
        <v>1301</v>
      </c>
      <c r="E292" s="29" t="s">
        <v>1020</v>
      </c>
      <c r="F292" s="14"/>
    </row>
    <row r="293" spans="1:6" ht="19" customHeight="1" x14ac:dyDescent="0.3">
      <c r="A293" s="29">
        <v>335</v>
      </c>
      <c r="B293" s="77"/>
      <c r="C293" s="77"/>
      <c r="D293" s="52" t="s">
        <v>1302</v>
      </c>
      <c r="E293" s="29" t="s">
        <v>1020</v>
      </c>
      <c r="F293" s="14" t="s">
        <v>1050</v>
      </c>
    </row>
    <row r="294" spans="1:6" ht="19" customHeight="1" x14ac:dyDescent="0.3">
      <c r="A294" s="29">
        <v>336</v>
      </c>
      <c r="B294" s="77"/>
      <c r="C294" s="77"/>
      <c r="D294" s="52" t="s">
        <v>1303</v>
      </c>
      <c r="E294" s="29" t="s">
        <v>1020</v>
      </c>
    </row>
    <row r="295" spans="1:6" ht="19" customHeight="1" x14ac:dyDescent="0.3">
      <c r="A295" s="29">
        <v>337</v>
      </c>
      <c r="B295" s="77" t="s">
        <v>376</v>
      </c>
      <c r="C295" s="77" t="s">
        <v>376</v>
      </c>
      <c r="D295" s="52" t="s">
        <v>1304</v>
      </c>
      <c r="E295" s="29" t="s">
        <v>1020</v>
      </c>
      <c r="F295" s="14" t="s">
        <v>1305</v>
      </c>
    </row>
    <row r="296" spans="1:6" ht="19" customHeight="1" x14ac:dyDescent="0.3">
      <c r="A296" s="29">
        <v>338</v>
      </c>
      <c r="B296" s="77"/>
      <c r="C296" s="77"/>
      <c r="D296" s="52" t="s">
        <v>1306</v>
      </c>
      <c r="E296" s="29" t="s">
        <v>1020</v>
      </c>
      <c r="F296" s="14" t="s">
        <v>1307</v>
      </c>
    </row>
    <row r="297" spans="1:6" ht="19" customHeight="1" x14ac:dyDescent="0.3">
      <c r="A297" s="29">
        <v>339</v>
      </c>
      <c r="B297" s="77"/>
      <c r="C297" s="77"/>
      <c r="D297" s="52" t="s">
        <v>1308</v>
      </c>
      <c r="E297" s="29" t="s">
        <v>1020</v>
      </c>
      <c r="F297" s="14" t="s">
        <v>1309</v>
      </c>
    </row>
    <row r="298" spans="1:6" ht="19" customHeight="1" x14ac:dyDescent="0.3">
      <c r="A298" s="29">
        <v>340</v>
      </c>
      <c r="B298" s="77"/>
      <c r="C298" s="77"/>
      <c r="D298" s="52" t="s">
        <v>1310</v>
      </c>
      <c r="E298" s="29" t="s">
        <v>1020</v>
      </c>
      <c r="F298" s="14" t="s">
        <v>1311</v>
      </c>
    </row>
    <row r="299" spans="1:6" ht="19" customHeight="1" x14ac:dyDescent="0.3">
      <c r="A299" s="29">
        <v>341</v>
      </c>
      <c r="B299" s="77"/>
      <c r="C299" s="77"/>
      <c r="D299" s="52" t="s">
        <v>1312</v>
      </c>
      <c r="E299" s="29" t="s">
        <v>1020</v>
      </c>
      <c r="F299" s="14" t="s">
        <v>1313</v>
      </c>
    </row>
    <row r="300" spans="1:6" ht="19" customHeight="1" x14ac:dyDescent="0.3">
      <c r="A300" s="29">
        <v>342</v>
      </c>
      <c r="B300" s="77"/>
      <c r="C300" s="77"/>
      <c r="D300" s="52" t="s">
        <v>1314</v>
      </c>
      <c r="E300" s="29" t="s">
        <v>1020</v>
      </c>
      <c r="F300" s="14" t="s">
        <v>1315</v>
      </c>
    </row>
    <row r="301" spans="1:6" ht="19" customHeight="1" x14ac:dyDescent="0.3">
      <c r="A301" s="29">
        <v>343</v>
      </c>
      <c r="B301" s="77"/>
      <c r="C301" s="77"/>
      <c r="D301" s="52" t="s">
        <v>1316</v>
      </c>
      <c r="E301" s="29" t="s">
        <v>1020</v>
      </c>
    </row>
    <row r="302" spans="1:6" ht="19" customHeight="1" x14ac:dyDescent="0.3">
      <c r="A302" s="29">
        <v>344</v>
      </c>
      <c r="B302" s="77"/>
      <c r="C302" s="77"/>
      <c r="D302" s="52" t="s">
        <v>1317</v>
      </c>
      <c r="E302" s="29" t="s">
        <v>1020</v>
      </c>
      <c r="F302" s="14" t="s">
        <v>1318</v>
      </c>
    </row>
    <row r="303" spans="1:6" ht="19" customHeight="1" x14ac:dyDescent="0.3">
      <c r="A303" s="29">
        <v>345</v>
      </c>
      <c r="B303" s="77"/>
      <c r="C303" s="77"/>
      <c r="D303" s="52" t="s">
        <v>1319</v>
      </c>
      <c r="E303" s="29" t="s">
        <v>1020</v>
      </c>
      <c r="F303" s="14" t="s">
        <v>1320</v>
      </c>
    </row>
    <row r="304" spans="1:6" ht="19" customHeight="1" x14ac:dyDescent="0.3">
      <c r="A304" s="29">
        <v>346</v>
      </c>
      <c r="B304" s="77"/>
      <c r="C304" s="77"/>
      <c r="D304" s="52" t="s">
        <v>898</v>
      </c>
      <c r="E304" s="29" t="s">
        <v>898</v>
      </c>
      <c r="F304" s="14" t="s">
        <v>1321</v>
      </c>
    </row>
    <row r="305" spans="1:6" ht="19" customHeight="1" x14ac:dyDescent="0.3">
      <c r="A305" s="29">
        <v>347</v>
      </c>
      <c r="B305" s="77"/>
      <c r="C305" s="77"/>
      <c r="D305" s="52" t="s">
        <v>1322</v>
      </c>
      <c r="E305" s="29" t="s">
        <v>1020</v>
      </c>
      <c r="F305" s="14" t="s">
        <v>1323</v>
      </c>
    </row>
    <row r="306" spans="1:6" ht="19" customHeight="1" x14ac:dyDescent="0.3">
      <c r="A306" s="29">
        <v>348</v>
      </c>
      <c r="B306" s="77"/>
      <c r="C306" s="77"/>
      <c r="D306" s="52" t="s">
        <v>1324</v>
      </c>
      <c r="E306" s="29" t="s">
        <v>1020</v>
      </c>
      <c r="F306" s="14" t="s">
        <v>1325</v>
      </c>
    </row>
    <row r="307" spans="1:6" ht="19" customHeight="1" x14ac:dyDescent="0.3">
      <c r="A307" s="29">
        <v>349</v>
      </c>
      <c r="B307" s="77"/>
      <c r="C307" s="77"/>
      <c r="D307" s="52" t="s">
        <v>1326</v>
      </c>
      <c r="E307" s="29" t="s">
        <v>1020</v>
      </c>
      <c r="F307" s="14" t="s">
        <v>1327</v>
      </c>
    </row>
    <row r="308" spans="1:6" ht="19" customHeight="1" x14ac:dyDescent="0.3">
      <c r="A308" s="29">
        <v>350</v>
      </c>
      <c r="B308" s="77"/>
      <c r="C308" s="77"/>
      <c r="D308" s="52" t="s">
        <v>1328</v>
      </c>
      <c r="E308" s="29" t="s">
        <v>1020</v>
      </c>
      <c r="F308" s="14" t="s">
        <v>1329</v>
      </c>
    </row>
    <row r="309" spans="1:6" ht="19" customHeight="1" x14ac:dyDescent="0.3">
      <c r="A309" s="29">
        <v>351</v>
      </c>
      <c r="B309" s="77"/>
      <c r="C309" s="77"/>
      <c r="D309" s="52" t="s">
        <v>922</v>
      </c>
      <c r="E309" s="29" t="s">
        <v>922</v>
      </c>
      <c r="F309" s="14" t="s">
        <v>1330</v>
      </c>
    </row>
    <row r="310" spans="1:6" ht="19" customHeight="1" x14ac:dyDescent="0.3">
      <c r="A310" s="29">
        <v>352</v>
      </c>
      <c r="B310" s="77"/>
      <c r="C310" s="77"/>
      <c r="D310" s="52" t="s">
        <v>1331</v>
      </c>
      <c r="E310" s="29" t="s">
        <v>1020</v>
      </c>
    </row>
    <row r="311" spans="1:6" ht="19" customHeight="1" x14ac:dyDescent="0.3">
      <c r="A311" s="29">
        <v>353</v>
      </c>
      <c r="B311" s="77"/>
      <c r="C311" s="77"/>
      <c r="D311" s="52" t="s">
        <v>1332</v>
      </c>
      <c r="E311" s="29" t="s">
        <v>1020</v>
      </c>
    </row>
    <row r="312" spans="1:6" ht="19" customHeight="1" x14ac:dyDescent="0.3">
      <c r="A312" s="29">
        <v>354</v>
      </c>
      <c r="B312" s="77"/>
      <c r="C312" s="77"/>
      <c r="D312" s="52" t="s">
        <v>1333</v>
      </c>
      <c r="E312" s="29" t="s">
        <v>1020</v>
      </c>
    </row>
    <row r="313" spans="1:6" ht="19" customHeight="1" x14ac:dyDescent="0.3">
      <c r="A313" s="29">
        <v>355</v>
      </c>
      <c r="B313" s="77"/>
      <c r="C313" s="77"/>
      <c r="D313" s="52" t="s">
        <v>1334</v>
      </c>
      <c r="E313" s="29" t="s">
        <v>1020</v>
      </c>
    </row>
    <row r="314" spans="1:6" ht="19" customHeight="1" x14ac:dyDescent="0.3">
      <c r="A314" s="29">
        <v>356</v>
      </c>
      <c r="B314" s="77"/>
      <c r="C314" s="77" t="s">
        <v>1335</v>
      </c>
      <c r="D314" s="52" t="s">
        <v>1336</v>
      </c>
      <c r="E314" s="29" t="s">
        <v>1020</v>
      </c>
      <c r="F314" s="14" t="s">
        <v>1337</v>
      </c>
    </row>
    <row r="315" spans="1:6" ht="19" customHeight="1" x14ac:dyDescent="0.3">
      <c r="A315" s="29">
        <v>357</v>
      </c>
      <c r="B315" s="77"/>
      <c r="C315" s="77"/>
      <c r="D315" s="52" t="s">
        <v>1338</v>
      </c>
      <c r="E315" s="29" t="s">
        <v>1020</v>
      </c>
      <c r="F315" s="14" t="s">
        <v>1339</v>
      </c>
    </row>
    <row r="316" spans="1:6" ht="19" customHeight="1" x14ac:dyDescent="0.3">
      <c r="A316" s="29">
        <v>358</v>
      </c>
      <c r="B316" s="77"/>
      <c r="C316" s="77"/>
      <c r="D316" s="52" t="s">
        <v>1340</v>
      </c>
      <c r="E316" s="29" t="s">
        <v>1020</v>
      </c>
      <c r="F316" s="14" t="s">
        <v>1339</v>
      </c>
    </row>
    <row r="317" spans="1:6" ht="19" customHeight="1" x14ac:dyDescent="0.3">
      <c r="A317" s="29">
        <v>359</v>
      </c>
      <c r="B317" s="77"/>
      <c r="C317" s="77"/>
      <c r="D317" s="52" t="s">
        <v>1341</v>
      </c>
      <c r="E317" s="29" t="s">
        <v>1020</v>
      </c>
      <c r="F317" s="14" t="s">
        <v>1339</v>
      </c>
    </row>
    <row r="318" spans="1:6" ht="19" customHeight="1" x14ac:dyDescent="0.3">
      <c r="A318" s="29">
        <v>360</v>
      </c>
      <c r="B318" s="77"/>
      <c r="C318" s="77"/>
      <c r="D318" s="52" t="s">
        <v>1342</v>
      </c>
      <c r="E318" s="29" t="s">
        <v>1020</v>
      </c>
      <c r="F318" s="14" t="s">
        <v>1339</v>
      </c>
    </row>
    <row r="319" spans="1:6" ht="19" customHeight="1" x14ac:dyDescent="0.3">
      <c r="A319" s="29">
        <v>361</v>
      </c>
      <c r="B319" s="77"/>
      <c r="C319" s="77"/>
      <c r="D319" s="52" t="s">
        <v>1343</v>
      </c>
      <c r="E319" s="29" t="s">
        <v>1020</v>
      </c>
      <c r="F319" s="14" t="s">
        <v>1339</v>
      </c>
    </row>
    <row r="320" spans="1:6" ht="19" customHeight="1" x14ac:dyDescent="0.3">
      <c r="A320" s="29">
        <v>362</v>
      </c>
      <c r="B320" s="77"/>
      <c r="C320" s="77"/>
      <c r="D320" s="52" t="s">
        <v>1344</v>
      </c>
      <c r="E320" s="29" t="s">
        <v>1020</v>
      </c>
      <c r="F320" s="14" t="s">
        <v>1339</v>
      </c>
    </row>
    <row r="321" spans="1:6" ht="19" customHeight="1" x14ac:dyDescent="0.3">
      <c r="A321" s="29">
        <v>363</v>
      </c>
      <c r="B321" s="77"/>
      <c r="C321" s="77"/>
      <c r="D321" s="52" t="s">
        <v>1345</v>
      </c>
      <c r="E321" s="29" t="s">
        <v>1020</v>
      </c>
      <c r="F321" s="14" t="s">
        <v>1339</v>
      </c>
    </row>
    <row r="322" spans="1:6" ht="19" customHeight="1" x14ac:dyDescent="0.3">
      <c r="A322" s="29">
        <v>364</v>
      </c>
      <c r="B322" s="77"/>
      <c r="C322" s="77"/>
      <c r="D322" s="52" t="s">
        <v>1346</v>
      </c>
      <c r="E322" s="29" t="s">
        <v>1020</v>
      </c>
      <c r="F322" s="14" t="s">
        <v>1347</v>
      </c>
    </row>
    <row r="323" spans="1:6" ht="19" customHeight="1" x14ac:dyDescent="0.3">
      <c r="A323" s="29">
        <v>365</v>
      </c>
      <c r="B323" s="77"/>
      <c r="C323" s="77"/>
      <c r="D323" s="52" t="s">
        <v>1348</v>
      </c>
      <c r="E323" s="29" t="s">
        <v>1020</v>
      </c>
      <c r="F323" s="14" t="s">
        <v>1349</v>
      </c>
    </row>
    <row r="324" spans="1:6" ht="19" customHeight="1" x14ac:dyDescent="0.3">
      <c r="A324" s="29">
        <v>366</v>
      </c>
      <c r="B324" s="77"/>
      <c r="C324" s="77"/>
      <c r="D324" s="52" t="s">
        <v>1350</v>
      </c>
      <c r="E324" s="29" t="s">
        <v>1020</v>
      </c>
      <c r="F324" s="14" t="s">
        <v>1351</v>
      </c>
    </row>
    <row r="325" spans="1:6" ht="19" customHeight="1" x14ac:dyDescent="0.3">
      <c r="A325" s="29">
        <v>367</v>
      </c>
      <c r="B325" s="77"/>
      <c r="C325" s="77"/>
      <c r="D325" s="29" t="s">
        <v>1352</v>
      </c>
      <c r="E325" s="29" t="s">
        <v>1020</v>
      </c>
      <c r="F325" s="14" t="s">
        <v>1353</v>
      </c>
    </row>
    <row r="326" spans="1:6" ht="19" customHeight="1" x14ac:dyDescent="0.3">
      <c r="A326" s="29">
        <v>368</v>
      </c>
      <c r="B326" s="77"/>
      <c r="C326" s="77"/>
      <c r="D326" s="52" t="s">
        <v>1354</v>
      </c>
      <c r="E326" s="29" t="s">
        <v>1020</v>
      </c>
      <c r="F326" s="14"/>
    </row>
    <row r="327" spans="1:6" ht="19" customHeight="1" x14ac:dyDescent="0.3">
      <c r="A327" s="29">
        <v>369</v>
      </c>
      <c r="B327" s="77" t="s">
        <v>1008</v>
      </c>
      <c r="C327" s="77" t="s">
        <v>1355</v>
      </c>
      <c r="D327" s="52" t="s">
        <v>704</v>
      </c>
      <c r="E327" s="29" t="s">
        <v>704</v>
      </c>
    </row>
    <row r="328" spans="1:6" ht="19" customHeight="1" x14ac:dyDescent="0.3">
      <c r="A328" s="29">
        <v>370</v>
      </c>
      <c r="B328" s="77"/>
      <c r="C328" s="77"/>
      <c r="D328" s="52" t="s">
        <v>1356</v>
      </c>
      <c r="E328" s="29" t="s">
        <v>1020</v>
      </c>
    </row>
    <row r="329" spans="1:6" ht="19" customHeight="1" x14ac:dyDescent="0.3">
      <c r="A329" s="29">
        <v>371</v>
      </c>
      <c r="B329" s="77"/>
      <c r="C329" s="77"/>
      <c r="D329" s="52" t="s">
        <v>1357</v>
      </c>
      <c r="E329" s="29" t="s">
        <v>1020</v>
      </c>
    </row>
    <row r="330" spans="1:6" ht="19" customHeight="1" x14ac:dyDescent="0.3">
      <c r="A330" s="29">
        <v>372</v>
      </c>
      <c r="B330" s="77"/>
      <c r="C330" s="77"/>
      <c r="D330" s="52" t="s">
        <v>1358</v>
      </c>
      <c r="E330" s="29" t="s">
        <v>1020</v>
      </c>
    </row>
    <row r="331" spans="1:6" ht="19" customHeight="1" x14ac:dyDescent="0.3">
      <c r="A331" s="29">
        <v>373</v>
      </c>
      <c r="B331" s="77"/>
      <c r="C331" s="77"/>
      <c r="D331" s="52" t="s">
        <v>1359</v>
      </c>
      <c r="E331" s="29" t="s">
        <v>1020</v>
      </c>
    </row>
    <row r="332" spans="1:6" ht="19" customHeight="1" x14ac:dyDescent="0.3">
      <c r="A332" s="29">
        <v>374</v>
      </c>
      <c r="B332" s="77"/>
      <c r="C332" s="77"/>
      <c r="D332" s="52" t="s">
        <v>1360</v>
      </c>
      <c r="E332" s="29" t="s">
        <v>1020</v>
      </c>
    </row>
    <row r="333" spans="1:6" ht="19" customHeight="1" x14ac:dyDescent="0.3">
      <c r="A333" s="29">
        <v>375</v>
      </c>
      <c r="B333" s="77"/>
      <c r="C333" s="77"/>
      <c r="D333" s="52" t="s">
        <v>714</v>
      </c>
      <c r="E333" s="29" t="s">
        <v>1020</v>
      </c>
    </row>
    <row r="334" spans="1:6" ht="19" customHeight="1" x14ac:dyDescent="0.3">
      <c r="A334" s="29">
        <v>376</v>
      </c>
      <c r="B334" s="77"/>
      <c r="C334" s="77"/>
      <c r="D334" s="52" t="s">
        <v>632</v>
      </c>
      <c r="E334" s="29" t="s">
        <v>1020</v>
      </c>
    </row>
    <row r="335" spans="1:6" ht="19" customHeight="1" x14ac:dyDescent="0.3">
      <c r="A335" s="29">
        <v>377</v>
      </c>
      <c r="B335" s="77"/>
      <c r="C335" s="77"/>
      <c r="D335" s="52" t="s">
        <v>710</v>
      </c>
      <c r="E335" s="29" t="s">
        <v>1020</v>
      </c>
    </row>
    <row r="336" spans="1:6" ht="19" customHeight="1" x14ac:dyDescent="0.3">
      <c r="A336" s="29">
        <v>378</v>
      </c>
      <c r="B336" s="77"/>
      <c r="C336" s="77"/>
      <c r="D336" s="52" t="s">
        <v>712</v>
      </c>
      <c r="E336" s="29" t="s">
        <v>1020</v>
      </c>
    </row>
    <row r="337" spans="1:6" ht="19" customHeight="1" x14ac:dyDescent="0.3">
      <c r="A337" s="29">
        <v>379</v>
      </c>
      <c r="B337" s="77"/>
      <c r="C337" s="77"/>
      <c r="D337" s="52" t="s">
        <v>1361</v>
      </c>
      <c r="E337" s="29" t="s">
        <v>1020</v>
      </c>
    </row>
    <row r="338" spans="1:6" ht="19" customHeight="1" x14ac:dyDescent="0.3">
      <c r="A338" s="29">
        <v>380</v>
      </c>
      <c r="B338" s="77"/>
      <c r="C338" s="77"/>
      <c r="D338" s="52" t="s">
        <v>708</v>
      </c>
      <c r="E338" s="29" t="s">
        <v>1020</v>
      </c>
    </row>
    <row r="339" spans="1:6" ht="19" customHeight="1" x14ac:dyDescent="0.3">
      <c r="A339" s="29">
        <v>381</v>
      </c>
      <c r="B339" s="77"/>
      <c r="C339" s="77" t="s">
        <v>118</v>
      </c>
      <c r="D339" s="52" t="s">
        <v>572</v>
      </c>
      <c r="E339" s="29" t="s">
        <v>572</v>
      </c>
    </row>
    <row r="340" spans="1:6" ht="19" customHeight="1" x14ac:dyDescent="0.3">
      <c r="A340" s="29">
        <v>382</v>
      </c>
      <c r="B340" s="77"/>
      <c r="C340" s="77"/>
      <c r="D340" s="52" t="s">
        <v>569</v>
      </c>
      <c r="E340" s="29" t="s">
        <v>569</v>
      </c>
    </row>
    <row r="341" spans="1:6" ht="19" customHeight="1" x14ac:dyDescent="0.3">
      <c r="A341" s="29">
        <v>383</v>
      </c>
      <c r="B341" s="77"/>
      <c r="C341" s="77"/>
      <c r="D341" s="52" t="s">
        <v>1362</v>
      </c>
      <c r="E341" s="29" t="s">
        <v>1020</v>
      </c>
    </row>
    <row r="342" spans="1:6" ht="19" customHeight="1" x14ac:dyDescent="0.3">
      <c r="A342" s="29">
        <v>384</v>
      </c>
      <c r="B342" s="77"/>
      <c r="C342" s="77"/>
      <c r="D342" s="52" t="s">
        <v>557</v>
      </c>
      <c r="E342" s="29" t="s">
        <v>1020</v>
      </c>
    </row>
    <row r="343" spans="1:6" ht="19" customHeight="1" x14ac:dyDescent="0.3">
      <c r="A343" s="29">
        <v>385</v>
      </c>
      <c r="B343" s="77"/>
      <c r="C343" s="77" t="s">
        <v>75</v>
      </c>
      <c r="D343" s="52" t="s">
        <v>1363</v>
      </c>
      <c r="E343" s="29" t="s">
        <v>1020</v>
      </c>
      <c r="F343" s="14" t="s">
        <v>1364</v>
      </c>
    </row>
    <row r="344" spans="1:6" ht="19" customHeight="1" x14ac:dyDescent="0.3">
      <c r="A344" s="29">
        <v>386</v>
      </c>
      <c r="B344" s="77"/>
      <c r="C344" s="77"/>
      <c r="D344" s="52" t="s">
        <v>114</v>
      </c>
      <c r="E344" s="29" t="s">
        <v>1020</v>
      </c>
    </row>
    <row r="345" spans="1:6" ht="19" customHeight="1" x14ac:dyDescent="0.3">
      <c r="A345" s="29">
        <v>387</v>
      </c>
      <c r="B345" s="77"/>
      <c r="C345" s="77"/>
      <c r="D345" s="52" t="s">
        <v>551</v>
      </c>
      <c r="E345" s="29" t="s">
        <v>551</v>
      </c>
      <c r="F345" s="14" t="s">
        <v>1365</v>
      </c>
    </row>
    <row r="346" spans="1:6" ht="19" customHeight="1" x14ac:dyDescent="0.3">
      <c r="A346" s="29">
        <v>388</v>
      </c>
      <c r="B346" s="77"/>
      <c r="C346" s="77"/>
      <c r="D346" s="52" t="s">
        <v>549</v>
      </c>
      <c r="E346" s="29" t="s">
        <v>549</v>
      </c>
      <c r="F346" s="14" t="s">
        <v>1365</v>
      </c>
    </row>
    <row r="347" spans="1:6" ht="19" customHeight="1" x14ac:dyDescent="0.3">
      <c r="A347" s="29">
        <v>389</v>
      </c>
      <c r="B347" s="77"/>
      <c r="C347" s="77" t="s">
        <v>446</v>
      </c>
      <c r="D347" s="52" t="s">
        <v>455</v>
      </c>
      <c r="E347" s="29" t="s">
        <v>1020</v>
      </c>
    </row>
    <row r="348" spans="1:6" ht="19" customHeight="1" x14ac:dyDescent="0.3">
      <c r="A348" s="29">
        <v>390</v>
      </c>
      <c r="B348" s="77"/>
      <c r="C348" s="77"/>
      <c r="D348" s="52" t="s">
        <v>474</v>
      </c>
      <c r="E348" s="29" t="s">
        <v>1020</v>
      </c>
    </row>
    <row r="349" spans="1:6" ht="19" customHeight="1" x14ac:dyDescent="0.3">
      <c r="A349" s="29">
        <v>391</v>
      </c>
      <c r="B349" s="29" t="s">
        <v>299</v>
      </c>
      <c r="C349" s="29" t="s">
        <v>299</v>
      </c>
      <c r="D349" s="52" t="s">
        <v>1366</v>
      </c>
      <c r="E349" s="29" t="s">
        <v>1020</v>
      </c>
    </row>
    <row r="350" spans="1:6" ht="19" customHeight="1" x14ac:dyDescent="0.3">
      <c r="A350" s="29">
        <v>392</v>
      </c>
      <c r="B350" s="77" t="s">
        <v>319</v>
      </c>
      <c r="C350" s="77"/>
      <c r="D350" s="52" t="s">
        <v>1367</v>
      </c>
      <c r="E350" s="29" t="s">
        <v>1020</v>
      </c>
    </row>
    <row r="351" spans="1:6" ht="19" customHeight="1" x14ac:dyDescent="0.3">
      <c r="A351" s="29">
        <v>393</v>
      </c>
      <c r="B351" s="77"/>
      <c r="C351" s="77"/>
      <c r="D351" s="52" t="s">
        <v>1368</v>
      </c>
      <c r="E351" s="29" t="s">
        <v>1020</v>
      </c>
    </row>
    <row r="352" spans="1:6" ht="19" customHeight="1" x14ac:dyDescent="0.3">
      <c r="A352" s="29">
        <v>394</v>
      </c>
      <c r="B352" s="77"/>
      <c r="C352" s="77"/>
      <c r="D352" s="52" t="s">
        <v>1369</v>
      </c>
      <c r="E352" s="29" t="s">
        <v>1020</v>
      </c>
    </row>
    <row r="353" spans="1:5" ht="19" customHeight="1" x14ac:dyDescent="0.3">
      <c r="A353" s="29">
        <v>395</v>
      </c>
      <c r="B353" s="77"/>
      <c r="C353" s="77"/>
      <c r="D353" s="52" t="s">
        <v>1370</v>
      </c>
      <c r="E353" s="29" t="s">
        <v>1020</v>
      </c>
    </row>
    <row r="354" spans="1:5" ht="19" customHeight="1" x14ac:dyDescent="0.3">
      <c r="A354" s="29">
        <v>396</v>
      </c>
      <c r="B354" s="77"/>
      <c r="C354" s="77"/>
      <c r="D354" s="52" t="s">
        <v>1371</v>
      </c>
      <c r="E354" s="29" t="s">
        <v>1020</v>
      </c>
    </row>
    <row r="355" spans="1:5" ht="19" customHeight="1" x14ac:dyDescent="0.3">
      <c r="A355" s="29">
        <v>397</v>
      </c>
      <c r="B355" s="77"/>
      <c r="C355" s="77"/>
      <c r="D355" s="52" t="s">
        <v>1372</v>
      </c>
      <c r="E355" s="29" t="s">
        <v>1020</v>
      </c>
    </row>
    <row r="356" spans="1:5" ht="19" customHeight="1" x14ac:dyDescent="0.3">
      <c r="A356" s="29">
        <v>398</v>
      </c>
      <c r="B356" s="77"/>
      <c r="C356" s="77"/>
      <c r="D356" s="52" t="s">
        <v>1373</v>
      </c>
      <c r="E356" s="29" t="s">
        <v>1020</v>
      </c>
    </row>
    <row r="357" spans="1:5" ht="19" customHeight="1" x14ac:dyDescent="0.3">
      <c r="A357" s="29">
        <v>399</v>
      </c>
      <c r="B357" s="77"/>
      <c r="C357" s="77"/>
      <c r="D357" s="52" t="s">
        <v>1374</v>
      </c>
      <c r="E357" s="29" t="s">
        <v>1020</v>
      </c>
    </row>
    <row r="358" spans="1:5" ht="19" customHeight="1" x14ac:dyDescent="0.3">
      <c r="A358" s="29">
        <v>400</v>
      </c>
      <c r="B358" s="77"/>
      <c r="C358" s="77"/>
      <c r="D358" s="52" t="s">
        <v>1375</v>
      </c>
      <c r="E358" s="29" t="s">
        <v>1020</v>
      </c>
    </row>
    <row r="359" spans="1:5" ht="19" customHeight="1" x14ac:dyDescent="0.3">
      <c r="A359" s="29">
        <v>401</v>
      </c>
      <c r="B359" s="77"/>
      <c r="C359" s="77"/>
      <c r="D359" s="52" t="s">
        <v>1376</v>
      </c>
      <c r="E359" s="29" t="s">
        <v>1020</v>
      </c>
    </row>
  </sheetData>
  <mergeCells count="81">
    <mergeCell ref="D270:D272"/>
    <mergeCell ref="D278:D279"/>
    <mergeCell ref="D281:D282"/>
    <mergeCell ref="D283:D284"/>
    <mergeCell ref="D289:D290"/>
    <mergeCell ref="C343:C346"/>
    <mergeCell ref="C347:C348"/>
    <mergeCell ref="C350:C359"/>
    <mergeCell ref="D3:D10"/>
    <mergeCell ref="D13:D15"/>
    <mergeCell ref="D16:D18"/>
    <mergeCell ref="D23:D25"/>
    <mergeCell ref="D36:D37"/>
    <mergeCell ref="D40:D41"/>
    <mergeCell ref="D45:D47"/>
    <mergeCell ref="D73:D75"/>
    <mergeCell ref="D80:D81"/>
    <mergeCell ref="D163:D165"/>
    <mergeCell ref="D167:D169"/>
    <mergeCell ref="D258:D259"/>
    <mergeCell ref="D262:D263"/>
    <mergeCell ref="C291:C294"/>
    <mergeCell ref="C295:C313"/>
    <mergeCell ref="C314:C326"/>
    <mergeCell ref="C327:C338"/>
    <mergeCell ref="C339:C342"/>
    <mergeCell ref="C252:C257"/>
    <mergeCell ref="C258:C277"/>
    <mergeCell ref="C278:C280"/>
    <mergeCell ref="C281:C284"/>
    <mergeCell ref="C285:C290"/>
    <mergeCell ref="C220:C230"/>
    <mergeCell ref="C231:C235"/>
    <mergeCell ref="C236:C237"/>
    <mergeCell ref="C238:C243"/>
    <mergeCell ref="C244:C251"/>
    <mergeCell ref="C189:C193"/>
    <mergeCell ref="C194:C201"/>
    <mergeCell ref="C202:C205"/>
    <mergeCell ref="C206:C210"/>
    <mergeCell ref="C211:C219"/>
    <mergeCell ref="C163:C175"/>
    <mergeCell ref="C176:C180"/>
    <mergeCell ref="C181:C182"/>
    <mergeCell ref="C183:C186"/>
    <mergeCell ref="C187:C188"/>
    <mergeCell ref="C137:C139"/>
    <mergeCell ref="C140:C142"/>
    <mergeCell ref="C143:C145"/>
    <mergeCell ref="C146:C157"/>
    <mergeCell ref="C158:C162"/>
    <mergeCell ref="C109:C116"/>
    <mergeCell ref="C117:C118"/>
    <mergeCell ref="C119:C125"/>
    <mergeCell ref="C126:C131"/>
    <mergeCell ref="C132:C136"/>
    <mergeCell ref="C82:C89"/>
    <mergeCell ref="C90:C92"/>
    <mergeCell ref="C93:C100"/>
    <mergeCell ref="C101:C104"/>
    <mergeCell ref="C105:C108"/>
    <mergeCell ref="C57:C59"/>
    <mergeCell ref="C60:C65"/>
    <mergeCell ref="C66:C70"/>
    <mergeCell ref="C71:C72"/>
    <mergeCell ref="C73:C81"/>
    <mergeCell ref="C2:C12"/>
    <mergeCell ref="C13:C25"/>
    <mergeCell ref="C26:C29"/>
    <mergeCell ref="C30:C39"/>
    <mergeCell ref="C40:C56"/>
    <mergeCell ref="B220:B251"/>
    <mergeCell ref="B252:B294"/>
    <mergeCell ref="B295:B326"/>
    <mergeCell ref="B327:B348"/>
    <mergeCell ref="B350:B359"/>
    <mergeCell ref="B2:B12"/>
    <mergeCell ref="B13:B81"/>
    <mergeCell ref="B82:B157"/>
    <mergeCell ref="B158:B182"/>
    <mergeCell ref="B183:B219"/>
  </mergeCells>
  <phoneticPr fontId="7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OIC Function  List</vt:lpstr>
      <vt:lpstr>Summary</vt:lpstr>
      <vt:lpstr>cvMES Function List 定义</vt:lpstr>
      <vt:lpstr>cvMES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tower</cp:lastModifiedBy>
  <dcterms:modified xsi:type="dcterms:W3CDTF">2025-10-30T09:52:09Z</dcterms:modified>
</cp:coreProperties>
</file>